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is Archivos\Ing. Sistemas\Cuarto Año\1er Cuatri\Estadistica\"/>
    </mc:Choice>
  </mc:AlternateContent>
  <bookViews>
    <workbookView xWindow="0" yWindow="0" windowWidth="22980" windowHeight="12300" firstSheet="1" activeTab="1"/>
  </bookViews>
  <sheets>
    <sheet name="ChartDataSheet_" sheetId="4" state="hidden" r:id="rId1"/>
    <sheet name="1,23" sheetId="1" r:id="rId2"/>
    <sheet name="1,24" sheetId="2" r:id="rId3"/>
    <sheet name="1,25" sheetId="7" r:id="rId4"/>
    <sheet name="1,27" sheetId="8" r:id="rId5"/>
    <sheet name="1,28" sheetId="9" r:id="rId6"/>
    <sheet name="1,30" sheetId="10" r:id="rId7"/>
    <sheet name="1,31" sheetId="11" r:id="rId8"/>
    <sheet name="1,32" sheetId="12" r:id="rId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12" l="1"/>
  <c r="I4" i="12"/>
  <c r="J4" i="12"/>
  <c r="G4" i="12"/>
  <c r="H3" i="12"/>
  <c r="I3" i="12"/>
  <c r="J3" i="12"/>
  <c r="G3" i="12"/>
  <c r="L3" i="11"/>
  <c r="K3" i="11"/>
  <c r="L2" i="11"/>
  <c r="K2" i="11"/>
  <c r="F3" i="2"/>
  <c r="G3" i="11"/>
  <c r="G4" i="11"/>
  <c r="G5" i="11"/>
  <c r="G6" i="11"/>
  <c r="G7" i="11"/>
  <c r="G8" i="11"/>
  <c r="G9" i="11"/>
  <c r="G10" i="11"/>
  <c r="G11" i="11"/>
  <c r="G2" i="11"/>
  <c r="D5" i="11"/>
  <c r="D6" i="11"/>
  <c r="D7" i="11"/>
  <c r="D8" i="11"/>
  <c r="D9" i="11"/>
  <c r="D10" i="11"/>
  <c r="D11" i="11"/>
  <c r="D3" i="11"/>
  <c r="D4" i="11"/>
  <c r="D2" i="11"/>
  <c r="J3" i="11"/>
  <c r="J2" i="11"/>
  <c r="I3" i="11"/>
  <c r="I2" i="11"/>
  <c r="F3" i="11"/>
  <c r="F4" i="11"/>
  <c r="F5" i="11"/>
  <c r="F6" i="11"/>
  <c r="F7" i="11"/>
  <c r="F8" i="11"/>
  <c r="F9" i="11"/>
  <c r="F10" i="11"/>
  <c r="F11" i="11"/>
  <c r="F2" i="11"/>
  <c r="C3" i="11"/>
  <c r="C4" i="11"/>
  <c r="C5" i="11"/>
  <c r="C6" i="11"/>
  <c r="C7" i="11"/>
  <c r="C8" i="11"/>
  <c r="C9" i="11"/>
  <c r="C10" i="11"/>
  <c r="C11" i="11"/>
  <c r="C2" i="11"/>
  <c r="C29" i="10"/>
  <c r="C30" i="10"/>
  <c r="C31" i="10"/>
  <c r="C32" i="10"/>
  <c r="C33" i="10"/>
  <c r="C34" i="10"/>
  <c r="C35" i="10"/>
  <c r="C36" i="10"/>
  <c r="C37" i="10"/>
  <c r="C38" i="10"/>
  <c r="C39" i="10"/>
  <c r="C40" i="10"/>
  <c r="C41" i="10"/>
  <c r="C42" i="10"/>
  <c r="C43" i="10"/>
  <c r="C44" i="10"/>
  <c r="C45" i="10"/>
  <c r="C46" i="10"/>
  <c r="C47" i="10"/>
  <c r="C48" i="10"/>
  <c r="C49" i="10"/>
  <c r="C50" i="10"/>
  <c r="C51" i="10"/>
  <c r="C17" i="10"/>
  <c r="C18" i="10"/>
  <c r="C19" i="10"/>
  <c r="C20" i="10"/>
  <c r="C21" i="10"/>
  <c r="C22" i="10"/>
  <c r="C23" i="10"/>
  <c r="C24" i="10"/>
  <c r="C25" i="10"/>
  <c r="C26" i="10"/>
  <c r="C27" i="10"/>
  <c r="C28" i="10"/>
  <c r="C3" i="10"/>
  <c r="C4" i="10"/>
  <c r="C5" i="10"/>
  <c r="C6" i="10"/>
  <c r="C7" i="10"/>
  <c r="C8" i="10"/>
  <c r="C9" i="10"/>
  <c r="C10" i="10"/>
  <c r="C11" i="10"/>
  <c r="C12" i="10"/>
  <c r="C13" i="10"/>
  <c r="C14" i="10"/>
  <c r="C15" i="10"/>
  <c r="C16" i="10"/>
  <c r="C2" i="10"/>
  <c r="E3" i="9"/>
  <c r="E4" i="9"/>
  <c r="E5" i="9"/>
  <c r="E6" i="9"/>
  <c r="E7" i="9"/>
  <c r="E8" i="9"/>
  <c r="E9" i="9"/>
  <c r="E10" i="9"/>
  <c r="E11" i="9"/>
  <c r="E2" i="9"/>
  <c r="C4" i="9"/>
  <c r="C5" i="9"/>
  <c r="C6" i="9"/>
  <c r="C7" i="9"/>
  <c r="C8" i="9"/>
  <c r="C9" i="9"/>
  <c r="C10" i="9"/>
  <c r="C11" i="9"/>
  <c r="C3" i="9"/>
  <c r="C2" i="9"/>
  <c r="I7" i="8" l="1"/>
  <c r="J7" i="8"/>
  <c r="H7" i="8"/>
  <c r="G3" i="7"/>
  <c r="G2" i="7"/>
  <c r="N7" i="7"/>
  <c r="N8" i="7"/>
  <c r="N9" i="7"/>
  <c r="N10" i="7"/>
  <c r="N11" i="7"/>
  <c r="N12" i="7"/>
  <c r="N13" i="7"/>
  <c r="N14" i="7"/>
  <c r="N6" i="7"/>
  <c r="L7" i="7"/>
  <c r="L6" i="7"/>
  <c r="J9" i="7"/>
  <c r="J10" i="7" s="1"/>
  <c r="J11" i="7" s="1"/>
  <c r="J12" i="7" s="1"/>
  <c r="J13" i="7" s="1"/>
  <c r="J14" i="7" s="1"/>
  <c r="J8" i="7"/>
  <c r="L8" i="7" s="1"/>
  <c r="K8" i="7"/>
  <c r="K9" i="7" s="1"/>
  <c r="K10" i="7" s="1"/>
  <c r="K11" i="7" s="1"/>
  <c r="K12" i="7" s="1"/>
  <c r="K13" i="7" s="1"/>
  <c r="K14" i="7" s="1"/>
  <c r="L14" i="7" s="1"/>
  <c r="K7" i="7"/>
  <c r="F3" i="7"/>
  <c r="F2" i="7"/>
  <c r="E3" i="7"/>
  <c r="E2" i="7"/>
  <c r="K18" i="2"/>
  <c r="K19" i="2"/>
  <c r="K20" i="2"/>
  <c r="K21" i="2"/>
  <c r="K17" i="2"/>
  <c r="I18" i="2"/>
  <c r="I19" i="2"/>
  <c r="I20" i="2"/>
  <c r="I21" i="2"/>
  <c r="I17" i="2"/>
  <c r="F2" i="2"/>
  <c r="E3" i="2"/>
  <c r="E2" i="2"/>
  <c r="C7" i="2" s="1"/>
  <c r="H3" i="1"/>
  <c r="G3" i="1"/>
  <c r="H2" i="1"/>
  <c r="G2" i="1"/>
  <c r="C6" i="1"/>
  <c r="C7" i="1"/>
  <c r="C8" i="1"/>
  <c r="C9" i="1"/>
  <c r="C10" i="1"/>
  <c r="C11" i="1"/>
  <c r="C12" i="1"/>
  <c r="C13" i="1"/>
  <c r="C14" i="1"/>
  <c r="C15" i="1"/>
  <c r="C16" i="1"/>
  <c r="C17" i="1"/>
  <c r="C18" i="1"/>
  <c r="C19" i="1"/>
  <c r="C20" i="1"/>
  <c r="C21" i="1"/>
  <c r="C3" i="1"/>
  <c r="C4" i="1"/>
  <c r="C5" i="1"/>
  <c r="C2" i="1"/>
  <c r="E4" i="1"/>
  <c r="E5" i="1"/>
  <c r="E6" i="1"/>
  <c r="E7" i="1"/>
  <c r="E8" i="1"/>
  <c r="E9" i="1"/>
  <c r="E10" i="1"/>
  <c r="E11" i="1"/>
  <c r="E12" i="1"/>
  <c r="E13" i="1"/>
  <c r="E14" i="1"/>
  <c r="E15" i="1"/>
  <c r="E16" i="1"/>
  <c r="E17" i="1"/>
  <c r="E18" i="1"/>
  <c r="E19" i="1"/>
  <c r="E20" i="1"/>
  <c r="E21" i="1"/>
  <c r="E2" i="1"/>
  <c r="E3" i="1"/>
  <c r="C18" i="2" l="1"/>
  <c r="L10" i="7"/>
  <c r="C12" i="2"/>
  <c r="L9" i="7"/>
  <c r="L11" i="7"/>
  <c r="L13" i="7"/>
  <c r="L12" i="7"/>
  <c r="C6" i="2"/>
  <c r="C30" i="2"/>
  <c r="C24" i="2"/>
  <c r="C28" i="2"/>
  <c r="C29" i="2"/>
  <c r="C23" i="2"/>
  <c r="C17" i="2"/>
  <c r="C11" i="2"/>
  <c r="C5" i="2"/>
  <c r="C22" i="2"/>
  <c r="C16" i="2"/>
  <c r="C10" i="2"/>
  <c r="C4" i="2"/>
  <c r="C27" i="2"/>
  <c r="C21" i="2"/>
  <c r="C15" i="2"/>
  <c r="C9" i="2"/>
  <c r="C3" i="2"/>
  <c r="C2" i="2"/>
  <c r="C26" i="2"/>
  <c r="C20" i="2"/>
  <c r="C14" i="2"/>
  <c r="C8" i="2"/>
  <c r="C31" i="2"/>
  <c r="C25" i="2"/>
  <c r="C19" i="2"/>
  <c r="C13" i="2"/>
</calcChain>
</file>

<file path=xl/sharedStrings.xml><?xml version="1.0" encoding="utf-8"?>
<sst xmlns="http://schemas.openxmlformats.org/spreadsheetml/2006/main" count="90" uniqueCount="53">
  <si>
    <t>N°</t>
  </si>
  <si>
    <t>Modelos-1980</t>
  </si>
  <si>
    <t>Modelos-1990</t>
  </si>
  <si>
    <t>This worksheet contains values required for MegaStat charts.</t>
  </si>
  <si>
    <t>Dotplot  3/15/2021 16:44.04</t>
  </si>
  <si>
    <t>Dotplot  3/15/2021 16:48.43</t>
  </si>
  <si>
    <t>Dotplot  3/15/2021 16:51.12</t>
  </si>
  <si>
    <t>Dotplot  3/15/2021 17:05.27</t>
  </si>
  <si>
    <t>Dotplot  3/15/2021 17:18.58</t>
  </si>
  <si>
    <t>Media modelos 1980</t>
  </si>
  <si>
    <t>Media modelos 1990</t>
  </si>
  <si>
    <t>Excel-&gt;</t>
  </si>
  <si>
    <t>Calculo-&gt;</t>
  </si>
  <si>
    <t>Dólar por alumno</t>
  </si>
  <si>
    <t>Media</t>
  </si>
  <si>
    <t>Desviación estándar</t>
  </si>
  <si>
    <t>(Dato - media)2</t>
  </si>
  <si>
    <t>10,13,14,22,36,37</t>
  </si>
  <si>
    <t>05,10,14,37,44,45</t>
  </si>
  <si>
    <t>51,54,57,71,79,85</t>
  </si>
  <si>
    <t>Tallo</t>
  </si>
  <si>
    <t>Hoja</t>
  </si>
  <si>
    <t>Frecuencia</t>
  </si>
  <si>
    <t>52,52,67,68,71,75,77,83,89,91,99</t>
  </si>
  <si>
    <t>2·</t>
  </si>
  <si>
    <t>2*</t>
  </si>
  <si>
    <t>3.</t>
  </si>
  <si>
    <t>3*</t>
  </si>
  <si>
    <t>1*</t>
  </si>
  <si>
    <t>Intervalo de clase</t>
  </si>
  <si>
    <t>Punto medio de clase</t>
  </si>
  <si>
    <t>Frecuencia relativa</t>
  </si>
  <si>
    <t>Diagrama de tallos y hojas</t>
  </si>
  <si>
    <t>Histograma de frecuencias relativas</t>
  </si>
  <si>
    <t>Mediana</t>
  </si>
  <si>
    <t>Muestra recortada al 10%</t>
  </si>
  <si>
    <t>Porcentaje familias</t>
  </si>
  <si>
    <t>Media recortada al 10%</t>
  </si>
  <si>
    <t>Desgaste</t>
  </si>
  <si>
    <t>Carga</t>
  </si>
  <si>
    <t>Medias</t>
  </si>
  <si>
    <t>c) Carga</t>
  </si>
  <si>
    <t>Contracción vel/baja</t>
  </si>
  <si>
    <t>Contracción vel/alta</t>
  </si>
  <si>
    <t>Tiempo de vida(h)</t>
  </si>
  <si>
    <t>Media vel/baja</t>
  </si>
  <si>
    <t>Media vel/alta</t>
  </si>
  <si>
    <t>Desviación estándar vel/baja</t>
  </si>
  <si>
    <t>Desviación estándar vel/alta</t>
  </si>
  <si>
    <t>Temperatura baja</t>
  </si>
  <si>
    <t>Temperatura alta</t>
  </si>
  <si>
    <t>Alta</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</si>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</sst>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 x14ac:knownFonts="1">
    <font>
      <sz val="11"/>
      <color theme="1"/>
      <name val="Calibri"/>
      <family val="2"/>
      <scheme val="minor"/>
    </font>
    <font>
      <sz val="11"/>
      <name val="Calibri"/>
      <family val="2"/>
      <scheme val="minor"/>
    </font>
  </fonts>
  <fills count="12">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1"/>
        <bgColor indexed="64"/>
      </patternFill>
    </fill>
    <fill>
      <patternFill patternType="solid">
        <fgColor theme="4" tint="0.39997558519241921"/>
        <bgColor indexed="64"/>
      </patternFill>
    </fill>
    <fill>
      <patternFill patternType="solid">
        <fgColor theme="4"/>
        <bgColor indexed="64"/>
      </patternFill>
    </fill>
    <fill>
      <patternFill patternType="solid">
        <fgColor theme="5"/>
        <bgColor indexed="64"/>
      </patternFill>
    </fill>
    <fill>
      <patternFill patternType="solid">
        <fgColor theme="0" tint="-0.249977111117893"/>
        <bgColor indexed="64"/>
      </patternFill>
    </fill>
    <fill>
      <patternFill patternType="solid">
        <fgColor theme="9" tint="0.79998168889431442"/>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3" borderId="0" xfId="0" applyFill="1" applyAlignment="1">
      <alignment wrapText="1"/>
    </xf>
    <xf numFmtId="0" fontId="0" fillId="3" borderId="0" xfId="0" applyFill="1" applyAlignment="1">
      <alignment horizontal="center"/>
    </xf>
    <xf numFmtId="0" fontId="0" fillId="3" borderId="0" xfId="0" applyFill="1" applyAlignment="1">
      <alignment horizontal="center" wrapText="1"/>
    </xf>
    <xf numFmtId="0" fontId="0" fillId="2" borderId="0" xfId="0" applyFill="1" applyAlignment="1">
      <alignment horizontal="center" wrapText="1"/>
    </xf>
    <xf numFmtId="0" fontId="0" fillId="0" borderId="0" xfId="0" applyAlignment="1">
      <alignment horizontal="right"/>
    </xf>
    <xf numFmtId="0" fontId="0" fillId="0" borderId="0" xfId="0" applyAlignment="1">
      <alignment wrapText="1"/>
    </xf>
    <xf numFmtId="0" fontId="0" fillId="0" borderId="0" xfId="0" applyAlignment="1">
      <alignment horizontal="center"/>
    </xf>
    <xf numFmtId="0" fontId="0" fillId="3" borderId="0" xfId="0" applyFill="1" applyAlignment="1"/>
    <xf numFmtId="0" fontId="0" fillId="0" borderId="0" xfId="0" applyAlignment="1"/>
    <xf numFmtId="164" fontId="0" fillId="0" borderId="0" xfId="0" applyNumberFormat="1" applyAlignment="1">
      <alignment horizontal="right"/>
    </xf>
    <xf numFmtId="0" fontId="0" fillId="2" borderId="0" xfId="0" applyFill="1" applyAlignment="1">
      <alignment horizontal="center"/>
    </xf>
    <xf numFmtId="0" fontId="0" fillId="0" borderId="0" xfId="0" applyBorder="1" applyAlignment="1">
      <alignment horizontal="left"/>
    </xf>
    <xf numFmtId="0" fontId="0" fillId="0" borderId="5" xfId="0" applyBorder="1"/>
    <xf numFmtId="0" fontId="0" fillId="0" borderId="7" xfId="0" applyBorder="1" applyAlignment="1">
      <alignment horizontal="left"/>
    </xf>
    <xf numFmtId="0" fontId="0" fillId="0" borderId="8" xfId="0" applyBorder="1"/>
    <xf numFmtId="0" fontId="0" fillId="0" borderId="0" xfId="0" applyBorder="1" applyAlignment="1">
      <alignment horizontal="center"/>
    </xf>
    <xf numFmtId="0" fontId="0" fillId="0" borderId="0" xfId="0" applyBorder="1"/>
    <xf numFmtId="0" fontId="0" fillId="0" borderId="4" xfId="0" applyBorder="1"/>
    <xf numFmtId="0" fontId="0" fillId="0" borderId="0" xfId="0" applyBorder="1" applyAlignment="1"/>
    <xf numFmtId="0" fontId="0" fillId="0" borderId="6" xfId="0" applyBorder="1"/>
    <xf numFmtId="0" fontId="0" fillId="0" borderId="7" xfId="0" applyBorder="1" applyAlignment="1"/>
    <xf numFmtId="0" fontId="0" fillId="0" borderId="7" xfId="0" applyBorder="1"/>
    <xf numFmtId="0" fontId="0" fillId="4" borderId="2" xfId="0" applyFill="1" applyBorder="1"/>
    <xf numFmtId="0" fontId="0" fillId="4" borderId="3" xfId="0" applyFill="1" applyBorder="1"/>
    <xf numFmtId="0" fontId="0" fillId="4" borderId="2" xfId="0" applyFill="1" applyBorder="1" applyAlignment="1">
      <alignment horizontal="left"/>
    </xf>
    <xf numFmtId="0" fontId="0" fillId="4" borderId="0" xfId="0" applyFill="1" applyBorder="1" applyAlignment="1">
      <alignment horizontal="left"/>
    </xf>
    <xf numFmtId="0" fontId="0" fillId="4" borderId="0" xfId="0" applyFill="1" applyBorder="1"/>
    <xf numFmtId="0" fontId="0" fillId="4" borderId="5" xfId="0" applyFill="1" applyBorder="1"/>
    <xf numFmtId="2" fontId="0" fillId="0" borderId="0" xfId="0" applyNumberFormat="1"/>
    <xf numFmtId="0" fontId="0" fillId="2" borderId="0" xfId="0" applyFill="1" applyAlignment="1">
      <alignment horizontal="center" vertical="center"/>
    </xf>
    <xf numFmtId="0" fontId="1" fillId="3" borderId="0" xfId="0" applyFont="1" applyFill="1"/>
    <xf numFmtId="0" fontId="0" fillId="6" borderId="12" xfId="0" applyFill="1" applyBorder="1" applyAlignment="1">
      <alignment horizontal="right"/>
    </xf>
    <xf numFmtId="0" fontId="0" fillId="3" borderId="12" xfId="0" applyFill="1" applyBorder="1"/>
    <xf numFmtId="0" fontId="0" fillId="7" borderId="12" xfId="0" applyFill="1" applyBorder="1"/>
    <xf numFmtId="0" fontId="0" fillId="5" borderId="12" xfId="0" applyFill="1" applyBorder="1" applyAlignment="1">
      <alignment horizontal="right"/>
    </xf>
    <xf numFmtId="0" fontId="0" fillId="5" borderId="12" xfId="0" applyFill="1" applyBorder="1"/>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4" borderId="4" xfId="0" applyFill="1" applyBorder="1" applyAlignment="1">
      <alignment horizontal="center"/>
    </xf>
    <xf numFmtId="0" fontId="0" fillId="4" borderId="0" xfId="0" applyFill="1" applyBorder="1" applyAlignment="1">
      <alignment horizontal="center"/>
    </xf>
    <xf numFmtId="0" fontId="0" fillId="3" borderId="12" xfId="0" applyFill="1" applyBorder="1" applyAlignment="1">
      <alignment horizontal="center"/>
    </xf>
    <xf numFmtId="0" fontId="0" fillId="7" borderId="12" xfId="0" applyFill="1" applyBorder="1" applyAlignment="1">
      <alignment horizontal="center" textRotation="90"/>
    </xf>
    <xf numFmtId="0" fontId="0" fillId="8" borderId="0" xfId="0" applyFill="1"/>
    <xf numFmtId="0" fontId="0" fillId="9" borderId="0" xfId="0" applyFill="1"/>
    <xf numFmtId="0" fontId="0" fillId="2" borderId="0" xfId="0" applyFill="1"/>
    <xf numFmtId="0" fontId="0" fillId="3" borderId="0" xfId="0" applyFill="1" applyAlignment="1">
      <alignment horizontal="center" vertical="center"/>
    </xf>
    <xf numFmtId="0" fontId="0" fillId="3" borderId="0" xfId="0" applyFill="1"/>
    <xf numFmtId="0" fontId="0" fillId="10" borderId="0" xfId="0" applyFill="1"/>
    <xf numFmtId="0" fontId="0" fillId="11" borderId="0" xfId="0" applyFill="1"/>
    <xf numFmtId="0" fontId="0" fillId="2" borderId="0" xfId="0" applyFill="1" applyAlignment="1">
      <alignment horizontal="center"/>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Gráfica</a:t>
            </a:r>
            <a:r>
              <a:rPr lang="en-US" baseline="0"/>
              <a:t> de puntos</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'1,23'!$B$1</c:f>
              <c:strCache>
                <c:ptCount val="1"/>
                <c:pt idx="0">
                  <c:v>Modelos-1980</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5"/>
            <c:marker>
              <c:symbol val="circle"/>
              <c:size val="3"/>
              <c:spPr>
                <a:solidFill>
                  <a:schemeClr val="accent1">
                    <a:lumMod val="60000"/>
                    <a:lumOff val="40000"/>
                  </a:schemeClr>
                </a:solidFill>
                <a:ln>
                  <a:noFill/>
                </a:ln>
                <a:effectLst>
                  <a:glow rad="63500">
                    <a:schemeClr val="accent1">
                      <a:satMod val="175000"/>
                      <a:alpha val="25000"/>
                    </a:schemeClr>
                  </a:glow>
                </a:effectLst>
              </c:spPr>
            </c:marker>
            <c:bubble3D val="0"/>
            <c:spPr>
              <a:ln w="22225" cap="rnd">
                <a:noFill/>
              </a:ln>
              <a:effectLst>
                <a:glow rad="139700">
                  <a:schemeClr val="accent1">
                    <a:satMod val="175000"/>
                    <a:alpha val="14000"/>
                  </a:schemeClr>
                </a:glow>
              </a:effectLst>
            </c:spPr>
            <c:extLst>
              <c:ext xmlns:c16="http://schemas.microsoft.com/office/drawing/2014/chart" uri="{C3380CC4-5D6E-409C-BE32-E72D297353CC}">
                <c16:uniqueId val="{00000004-060E-4D55-B99E-36936E4851A9}"/>
              </c:ext>
            </c:extLst>
          </c:dPt>
          <c:dPt>
            <c:idx val="17"/>
            <c:marker>
              <c:symbol val="circle"/>
              <c:size val="3"/>
              <c:spPr>
                <a:solidFill>
                  <a:schemeClr val="accent1">
                    <a:lumMod val="60000"/>
                    <a:lumOff val="40000"/>
                  </a:schemeClr>
                </a:solidFill>
                <a:ln>
                  <a:noFill/>
                </a:ln>
                <a:effectLst>
                  <a:glow rad="63500">
                    <a:schemeClr val="accent1">
                      <a:satMod val="175000"/>
                      <a:alpha val="25000"/>
                    </a:schemeClr>
                  </a:glow>
                </a:effectLst>
              </c:spPr>
            </c:marker>
            <c:bubble3D val="0"/>
            <c:spPr>
              <a:ln w="25400" cap="rnd">
                <a:noFill/>
              </a:ln>
              <a:effectLst>
                <a:glow rad="139700">
                  <a:schemeClr val="accent1">
                    <a:satMod val="175000"/>
                    <a:alpha val="14000"/>
                  </a:schemeClr>
                </a:glow>
              </a:effectLst>
            </c:spPr>
            <c:extLst>
              <c:ext xmlns:c16="http://schemas.microsoft.com/office/drawing/2014/chart" uri="{C3380CC4-5D6E-409C-BE32-E72D297353CC}">
                <c16:uniqueId val="{00000003-060E-4D55-B99E-36936E4851A9}"/>
              </c:ext>
            </c:extLst>
          </c:dPt>
          <c:xVal>
            <c:numRef>
              <c:f>'1,23'!$B$2:$B$21</c:f>
              <c:numCache>
                <c:formatCode>General</c:formatCode>
                <c:ptCount val="20"/>
                <c:pt idx="0">
                  <c:v>141</c:v>
                </c:pt>
                <c:pt idx="1">
                  <c:v>359</c:v>
                </c:pt>
                <c:pt idx="2">
                  <c:v>247</c:v>
                </c:pt>
                <c:pt idx="3">
                  <c:v>940</c:v>
                </c:pt>
                <c:pt idx="4">
                  <c:v>882</c:v>
                </c:pt>
                <c:pt idx="5">
                  <c:v>494</c:v>
                </c:pt>
                <c:pt idx="6">
                  <c:v>306</c:v>
                </c:pt>
                <c:pt idx="7">
                  <c:v>210</c:v>
                </c:pt>
                <c:pt idx="8">
                  <c:v>105</c:v>
                </c:pt>
                <c:pt idx="9">
                  <c:v>880</c:v>
                </c:pt>
                <c:pt idx="10">
                  <c:v>200</c:v>
                </c:pt>
                <c:pt idx="11">
                  <c:v>223</c:v>
                </c:pt>
                <c:pt idx="12">
                  <c:v>188</c:v>
                </c:pt>
                <c:pt idx="13">
                  <c:v>940</c:v>
                </c:pt>
                <c:pt idx="14">
                  <c:v>241</c:v>
                </c:pt>
                <c:pt idx="15">
                  <c:v>190</c:v>
                </c:pt>
                <c:pt idx="16">
                  <c:v>300</c:v>
                </c:pt>
                <c:pt idx="17">
                  <c:v>435</c:v>
                </c:pt>
                <c:pt idx="18">
                  <c:v>241</c:v>
                </c:pt>
                <c:pt idx="19">
                  <c:v>380</c:v>
                </c:pt>
              </c:numCache>
            </c:numRef>
          </c:xVal>
          <c:yVal>
            <c:numRef>
              <c:f>'1,23'!$C$2:$C$21</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2</c:v>
                </c:pt>
                <c:pt idx="14">
                  <c:v>1</c:v>
                </c:pt>
                <c:pt idx="15">
                  <c:v>1</c:v>
                </c:pt>
                <c:pt idx="16">
                  <c:v>1</c:v>
                </c:pt>
                <c:pt idx="17">
                  <c:v>1</c:v>
                </c:pt>
                <c:pt idx="18">
                  <c:v>2</c:v>
                </c:pt>
                <c:pt idx="19">
                  <c:v>1</c:v>
                </c:pt>
              </c:numCache>
            </c:numRef>
          </c:yVal>
          <c:smooth val="0"/>
          <c:extLst>
            <c:ext xmlns:c16="http://schemas.microsoft.com/office/drawing/2014/chart" uri="{C3380CC4-5D6E-409C-BE32-E72D297353CC}">
              <c16:uniqueId val="{00000000-060E-4D55-B99E-36936E4851A9}"/>
            </c:ext>
          </c:extLst>
        </c:ser>
        <c:ser>
          <c:idx val="1"/>
          <c:order val="1"/>
          <c:tx>
            <c:strRef>
              <c:f>'1,23'!$D$1</c:f>
              <c:strCache>
                <c:ptCount val="1"/>
                <c:pt idx="0">
                  <c:v>Modelos-1990</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'1,23'!$D$2:$D$21</c:f>
              <c:numCache>
                <c:formatCode>General</c:formatCode>
                <c:ptCount val="20"/>
                <c:pt idx="0">
                  <c:v>140</c:v>
                </c:pt>
                <c:pt idx="1">
                  <c:v>160</c:v>
                </c:pt>
                <c:pt idx="2">
                  <c:v>20</c:v>
                </c:pt>
                <c:pt idx="3">
                  <c:v>20</c:v>
                </c:pt>
                <c:pt idx="4">
                  <c:v>223</c:v>
                </c:pt>
                <c:pt idx="5">
                  <c:v>60</c:v>
                </c:pt>
                <c:pt idx="6">
                  <c:v>20</c:v>
                </c:pt>
                <c:pt idx="7">
                  <c:v>95</c:v>
                </c:pt>
                <c:pt idx="8">
                  <c:v>360</c:v>
                </c:pt>
                <c:pt idx="9">
                  <c:v>70</c:v>
                </c:pt>
                <c:pt idx="10">
                  <c:v>220</c:v>
                </c:pt>
                <c:pt idx="11">
                  <c:v>400</c:v>
                </c:pt>
                <c:pt idx="12">
                  <c:v>217</c:v>
                </c:pt>
                <c:pt idx="13">
                  <c:v>58</c:v>
                </c:pt>
                <c:pt idx="14">
                  <c:v>235</c:v>
                </c:pt>
                <c:pt idx="15">
                  <c:v>380</c:v>
                </c:pt>
                <c:pt idx="16">
                  <c:v>200</c:v>
                </c:pt>
                <c:pt idx="17">
                  <c:v>175</c:v>
                </c:pt>
                <c:pt idx="18">
                  <c:v>85</c:v>
                </c:pt>
                <c:pt idx="19">
                  <c:v>65</c:v>
                </c:pt>
              </c:numCache>
            </c:numRef>
          </c:xVal>
          <c:yVal>
            <c:numRef>
              <c:f>'1,23'!$E$2:$E$21</c:f>
              <c:numCache>
                <c:formatCode>General</c:formatCode>
                <c:ptCount val="20"/>
                <c:pt idx="0">
                  <c:v>1</c:v>
                </c:pt>
                <c:pt idx="1">
                  <c:v>1</c:v>
                </c:pt>
                <c:pt idx="2">
                  <c:v>1</c:v>
                </c:pt>
                <c:pt idx="3">
                  <c:v>2</c:v>
                </c:pt>
                <c:pt idx="4">
                  <c:v>1</c:v>
                </c:pt>
                <c:pt idx="5">
                  <c:v>1</c:v>
                </c:pt>
                <c:pt idx="6">
                  <c:v>3</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060E-4D55-B99E-36936E4851A9}"/>
            </c:ext>
          </c:extLst>
        </c:ser>
        <c:ser>
          <c:idx val="2"/>
          <c:order val="2"/>
          <c:tx>
            <c:strRef>
              <c:f>'1,23'!$G$1</c:f>
              <c:strCache>
                <c:ptCount val="1"/>
                <c:pt idx="0">
                  <c:v>Media modelos 1980</c:v>
                </c:pt>
              </c:strCache>
            </c:strRef>
          </c:tx>
          <c:spPr>
            <a:ln w="25400" cap="rnd">
              <a:noFill/>
            </a:ln>
            <a:effectLst>
              <a:glow rad="139700">
                <a:schemeClr val="accent3">
                  <a:satMod val="175000"/>
                  <a:alpha val="14000"/>
                </a:schemeClr>
              </a:glow>
            </a:effectLst>
          </c:spPr>
          <c:marker>
            <c:symbol val="circle"/>
            <c:size val="3"/>
            <c:spPr>
              <a:solidFill>
                <a:srgbClr val="00B050"/>
              </a:solidFill>
              <a:ln w="63500">
                <a:solidFill>
                  <a:srgbClr val="00B050">
                    <a:alpha val="77000"/>
                  </a:srgbClr>
                </a:solidFill>
              </a:ln>
              <a:effectLst>
                <a:glow rad="63500">
                  <a:schemeClr val="accent3">
                    <a:satMod val="175000"/>
                    <a:alpha val="25000"/>
                  </a:schemeClr>
                </a:glow>
              </a:effectLst>
            </c:spPr>
          </c:marker>
          <c:xVal>
            <c:numRef>
              <c:f>'1,23'!$G$2</c:f>
              <c:numCache>
                <c:formatCode>General</c:formatCode>
                <c:ptCount val="1"/>
                <c:pt idx="0">
                  <c:v>395.1</c:v>
                </c:pt>
              </c:numCache>
            </c:numRef>
          </c:xVal>
          <c:yVal>
            <c:numLit>
              <c:formatCode>General</c:formatCode>
              <c:ptCount val="1"/>
              <c:pt idx="0">
                <c:v>1</c:v>
              </c:pt>
            </c:numLit>
          </c:yVal>
          <c:smooth val="0"/>
          <c:extLst>
            <c:ext xmlns:c16="http://schemas.microsoft.com/office/drawing/2014/chart" uri="{C3380CC4-5D6E-409C-BE32-E72D297353CC}">
              <c16:uniqueId val="{00000005-060E-4D55-B99E-36936E4851A9}"/>
            </c:ext>
          </c:extLst>
        </c:ser>
        <c:ser>
          <c:idx val="3"/>
          <c:order val="3"/>
          <c:tx>
            <c:strRef>
              <c:f>'1,23'!$H$1</c:f>
              <c:strCache>
                <c:ptCount val="1"/>
                <c:pt idx="0">
                  <c:v>Media modelos 1990</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w="63500">
                <a:solidFill>
                  <a:schemeClr val="accent4">
                    <a:lumMod val="60000"/>
                    <a:lumOff val="40000"/>
                    <a:alpha val="79000"/>
                  </a:schemeClr>
                </a:solidFill>
              </a:ln>
              <a:effectLst>
                <a:glow rad="63500">
                  <a:schemeClr val="accent4">
                    <a:satMod val="175000"/>
                    <a:alpha val="25000"/>
                  </a:schemeClr>
                </a:glow>
              </a:effectLst>
            </c:spPr>
          </c:marker>
          <c:xVal>
            <c:numRef>
              <c:f>'1,23'!$H$2</c:f>
              <c:numCache>
                <c:formatCode>General</c:formatCode>
                <c:ptCount val="1"/>
                <c:pt idx="0">
                  <c:v>160.15</c:v>
                </c:pt>
              </c:numCache>
            </c:numRef>
          </c:xVal>
          <c:yVal>
            <c:numLit>
              <c:formatCode>General</c:formatCode>
              <c:ptCount val="1"/>
              <c:pt idx="0">
                <c:v>1</c:v>
              </c:pt>
            </c:numLit>
          </c:yVal>
          <c:smooth val="0"/>
          <c:extLst>
            <c:ext xmlns:c16="http://schemas.microsoft.com/office/drawing/2014/chart" uri="{C3380CC4-5D6E-409C-BE32-E72D297353CC}">
              <c16:uniqueId val="{00000006-060E-4D55-B99E-36936E4851A9}"/>
            </c:ext>
          </c:extLst>
        </c:ser>
        <c:dLbls>
          <c:showLegendKey val="0"/>
          <c:showVal val="0"/>
          <c:showCatName val="0"/>
          <c:showSerName val="0"/>
          <c:showPercent val="0"/>
          <c:showBubbleSize val="0"/>
        </c:dLbls>
        <c:axId val="749697935"/>
        <c:axId val="749697103"/>
      </c:scatterChart>
      <c:valAx>
        <c:axId val="74969793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9697103"/>
        <c:crosses val="autoZero"/>
        <c:crossBetween val="midCat"/>
      </c:valAx>
      <c:valAx>
        <c:axId val="749697103"/>
        <c:scaling>
          <c:orientation val="minMax"/>
          <c:max val="3"/>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9697935"/>
        <c:crosses val="autoZero"/>
        <c:crossBetween val="midCat"/>
        <c:majorUnit val="1"/>
      </c:valAx>
      <c:spPr>
        <a:noFill/>
        <a:ln>
          <a:noFill/>
        </a:ln>
        <a:effectLst/>
      </c:spPr>
    </c:plotArea>
    <c:legend>
      <c:legendPos val="b"/>
      <c:layout/>
      <c:overlay val="0"/>
      <c:spPr>
        <a:noFill/>
        <a:ln w="12700">
          <a:solidFill>
            <a:schemeClr val="accent1"/>
          </a:solid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Histograma</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'1,24'!$K$16</c:f>
              <c:strCache>
                <c:ptCount val="1"/>
                <c:pt idx="0">
                  <c:v>Frecuencia relativa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'1,24'!$I$17:$I$21</c:f>
              <c:numCache>
                <c:formatCode>General</c:formatCode>
                <c:ptCount val="5"/>
                <c:pt idx="0">
                  <c:v>1.7450000000000001</c:v>
                </c:pt>
                <c:pt idx="1">
                  <c:v>2.2450000000000001</c:v>
                </c:pt>
                <c:pt idx="2">
                  <c:v>2.7450000000000001</c:v>
                </c:pt>
                <c:pt idx="3">
                  <c:v>3.2450000000000001</c:v>
                </c:pt>
                <c:pt idx="4">
                  <c:v>3.7450000000000001</c:v>
                </c:pt>
              </c:numCache>
            </c:numRef>
          </c:cat>
          <c:val>
            <c:numRef>
              <c:f>'1,24'!$K$17:$K$21</c:f>
              <c:numCache>
                <c:formatCode>General</c:formatCode>
                <c:ptCount val="5"/>
                <c:pt idx="0">
                  <c:v>3.3333333333333333E-2</c:v>
                </c:pt>
                <c:pt idx="1">
                  <c:v>0.2</c:v>
                </c:pt>
                <c:pt idx="2">
                  <c:v>0.36666666666666664</c:v>
                </c:pt>
                <c:pt idx="3">
                  <c:v>0.2</c:v>
                </c:pt>
                <c:pt idx="4">
                  <c:v>0.2</c:v>
                </c:pt>
              </c:numCache>
            </c:numRef>
          </c:val>
          <c:extLst>
            <c:ext xmlns:c16="http://schemas.microsoft.com/office/drawing/2014/chart" uri="{C3380CC4-5D6E-409C-BE32-E72D297353CC}">
              <c16:uniqueId val="{00000000-CE6F-4A57-9453-B0C54ABE6911}"/>
            </c:ext>
          </c:extLst>
        </c:ser>
        <c:dLbls>
          <c:showLegendKey val="0"/>
          <c:showVal val="0"/>
          <c:showCatName val="0"/>
          <c:showSerName val="0"/>
          <c:showPercent val="0"/>
          <c:showBubbleSize val="0"/>
        </c:dLbls>
        <c:gapWidth val="0"/>
        <c:overlap val="-40"/>
        <c:axId val="1043504783"/>
        <c:axId val="1043498127"/>
      </c:barChart>
      <c:catAx>
        <c:axId val="1043504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Dólar por alumno</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3498127"/>
        <c:crosses val="autoZero"/>
        <c:auto val="1"/>
        <c:lblAlgn val="ctr"/>
        <c:lblOffset val="100"/>
        <c:noMultiLvlLbl val="0"/>
      </c:catAx>
      <c:valAx>
        <c:axId val="1043498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Frecuencia relativa</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350478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Histograma</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cat>
            <c:numRef>
              <c:f>'1,25'!$L$6:$L$14</c:f>
              <c:numCache>
                <c:formatCode>General</c:formatCode>
                <c:ptCount val="9"/>
                <c:pt idx="0">
                  <c:v>4.95</c:v>
                </c:pt>
                <c:pt idx="1">
                  <c:v>14.95</c:v>
                </c:pt>
                <c:pt idx="2">
                  <c:v>24.95</c:v>
                </c:pt>
                <c:pt idx="3">
                  <c:v>34.950000000000003</c:v>
                </c:pt>
                <c:pt idx="4">
                  <c:v>44.95</c:v>
                </c:pt>
                <c:pt idx="5">
                  <c:v>54.95</c:v>
                </c:pt>
                <c:pt idx="6">
                  <c:v>64.95</c:v>
                </c:pt>
                <c:pt idx="7">
                  <c:v>74.95</c:v>
                </c:pt>
                <c:pt idx="8">
                  <c:v>84.95</c:v>
                </c:pt>
              </c:numCache>
            </c:numRef>
          </c:cat>
          <c:val>
            <c:numRef>
              <c:f>'1,25'!$N$6:$N$14</c:f>
              <c:numCache>
                <c:formatCode>General</c:formatCode>
                <c:ptCount val="9"/>
                <c:pt idx="0">
                  <c:v>0.1</c:v>
                </c:pt>
                <c:pt idx="1">
                  <c:v>0.16666666666666666</c:v>
                </c:pt>
                <c:pt idx="2">
                  <c:v>0.36666666666666664</c:v>
                </c:pt>
                <c:pt idx="3">
                  <c:v>6.6666666666666666E-2</c:v>
                </c:pt>
                <c:pt idx="4">
                  <c:v>3.3333333333333333E-2</c:v>
                </c:pt>
                <c:pt idx="5">
                  <c:v>0.16666666666666666</c:v>
                </c:pt>
                <c:pt idx="6">
                  <c:v>3.3333333333333333E-2</c:v>
                </c:pt>
                <c:pt idx="7">
                  <c:v>3.3333333333333333E-2</c:v>
                </c:pt>
                <c:pt idx="8">
                  <c:v>3.3333333333333333E-2</c:v>
                </c:pt>
              </c:numCache>
            </c:numRef>
          </c:val>
          <c:extLst>
            <c:ext xmlns:c16="http://schemas.microsoft.com/office/drawing/2014/chart" uri="{C3380CC4-5D6E-409C-BE32-E72D297353CC}">
              <c16:uniqueId val="{00000000-9CCE-496E-91D7-146C49B1493C}"/>
            </c:ext>
          </c:extLst>
        </c:ser>
        <c:dLbls>
          <c:showLegendKey val="0"/>
          <c:showVal val="0"/>
          <c:showCatName val="0"/>
          <c:showSerName val="0"/>
          <c:showPercent val="0"/>
          <c:showBubbleSize val="0"/>
        </c:dLbls>
        <c:gapWidth val="0"/>
        <c:overlap val="26"/>
        <c:axId val="1002859887"/>
        <c:axId val="1002860303"/>
      </c:barChart>
      <c:catAx>
        <c:axId val="1002859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Porcentaje familias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2860303"/>
        <c:crosses val="autoZero"/>
        <c:auto val="1"/>
        <c:lblAlgn val="ctr"/>
        <c:lblOffset val="100"/>
        <c:noMultiLvlLbl val="0"/>
      </c:catAx>
      <c:valAx>
        <c:axId val="1002860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Frecuencia relativa</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2859887"/>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 Carga - Desgaste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xVal>
            <c:numRef>
              <c:f>'1,27'!$C$2:$C$4</c:f>
              <c:numCache>
                <c:formatCode>General</c:formatCode>
                <c:ptCount val="3"/>
                <c:pt idx="0">
                  <c:v>700</c:v>
                </c:pt>
                <c:pt idx="1">
                  <c:v>1000</c:v>
                </c:pt>
                <c:pt idx="2">
                  <c:v>1300</c:v>
                </c:pt>
              </c:numCache>
            </c:numRef>
          </c:xVal>
          <c:yVal>
            <c:numRef>
              <c:f>'1,27'!$B$2:$B$4</c:f>
              <c:numCache>
                <c:formatCode>General</c:formatCode>
                <c:ptCount val="3"/>
                <c:pt idx="0">
                  <c:v>210</c:v>
                </c:pt>
                <c:pt idx="1">
                  <c:v>325</c:v>
                </c:pt>
                <c:pt idx="2">
                  <c:v>375</c:v>
                </c:pt>
              </c:numCache>
            </c:numRef>
          </c:yVal>
          <c:smooth val="0"/>
          <c:extLst>
            <c:ext xmlns:c16="http://schemas.microsoft.com/office/drawing/2014/chart" uri="{C3380CC4-5D6E-409C-BE32-E72D297353CC}">
              <c16:uniqueId val="{00000000-29F7-4554-8587-DD406049482C}"/>
            </c:ext>
          </c:extLst>
        </c:ser>
        <c:dLbls>
          <c:showLegendKey val="0"/>
          <c:showVal val="0"/>
          <c:showCatName val="0"/>
          <c:showSerName val="0"/>
          <c:showPercent val="0"/>
          <c:showBubbleSize val="0"/>
        </c:dLbls>
        <c:axId val="873677039"/>
        <c:axId val="873676207"/>
      </c:scatterChart>
      <c:valAx>
        <c:axId val="873677039"/>
        <c:scaling>
          <c:orientation val="minMax"/>
          <c:min val="65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Carga en lb.</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676207"/>
        <c:crosses val="autoZero"/>
        <c:crossBetween val="midCat"/>
      </c:valAx>
      <c:valAx>
        <c:axId val="8736762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Desgaste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677039"/>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 Carga - Desgaste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008385383238627"/>
          <c:y val="0.11473788328387735"/>
          <c:w val="0.83658281283428049"/>
          <c:h val="0.73808796155673406"/>
        </c:manualLayout>
      </c:layout>
      <c:scatterChart>
        <c:scatterStyle val="lineMarker"/>
        <c:varyColors val="0"/>
        <c:ser>
          <c:idx val="0"/>
          <c:order val="0"/>
          <c:tx>
            <c:v>Prueba 1</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'1,27'!$H$2:$J$2</c:f>
              <c:numCache>
                <c:formatCode>General</c:formatCode>
                <c:ptCount val="3"/>
                <c:pt idx="0">
                  <c:v>700</c:v>
                </c:pt>
                <c:pt idx="1">
                  <c:v>1000</c:v>
                </c:pt>
                <c:pt idx="2">
                  <c:v>1300</c:v>
                </c:pt>
              </c:numCache>
            </c:numRef>
          </c:xVal>
          <c:yVal>
            <c:numRef>
              <c:f>'1,27'!$H$3:$J$3</c:f>
              <c:numCache>
                <c:formatCode>General</c:formatCode>
                <c:ptCount val="3"/>
                <c:pt idx="0">
                  <c:v>145</c:v>
                </c:pt>
                <c:pt idx="1">
                  <c:v>250</c:v>
                </c:pt>
                <c:pt idx="2">
                  <c:v>150</c:v>
                </c:pt>
              </c:numCache>
            </c:numRef>
          </c:yVal>
          <c:smooth val="0"/>
          <c:extLst>
            <c:ext xmlns:c16="http://schemas.microsoft.com/office/drawing/2014/chart" uri="{C3380CC4-5D6E-409C-BE32-E72D297353CC}">
              <c16:uniqueId val="{00000000-ECF7-46C1-8738-CF6C28EB05AA}"/>
            </c:ext>
          </c:extLst>
        </c:ser>
        <c:ser>
          <c:idx val="1"/>
          <c:order val="1"/>
          <c:tx>
            <c:v>Prueba 2</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'1,27'!$H$2:$J$2</c:f>
              <c:numCache>
                <c:formatCode>General</c:formatCode>
                <c:ptCount val="3"/>
                <c:pt idx="0">
                  <c:v>700</c:v>
                </c:pt>
                <c:pt idx="1">
                  <c:v>1000</c:v>
                </c:pt>
                <c:pt idx="2">
                  <c:v>1300</c:v>
                </c:pt>
              </c:numCache>
            </c:numRef>
          </c:xVal>
          <c:yVal>
            <c:numRef>
              <c:f>'1,27'!$H$4:$J$4</c:f>
              <c:numCache>
                <c:formatCode>General</c:formatCode>
                <c:ptCount val="3"/>
                <c:pt idx="0">
                  <c:v>105</c:v>
                </c:pt>
                <c:pt idx="1">
                  <c:v>195</c:v>
                </c:pt>
                <c:pt idx="2">
                  <c:v>180</c:v>
                </c:pt>
              </c:numCache>
            </c:numRef>
          </c:yVal>
          <c:smooth val="0"/>
          <c:extLst>
            <c:ext xmlns:c16="http://schemas.microsoft.com/office/drawing/2014/chart" uri="{C3380CC4-5D6E-409C-BE32-E72D297353CC}">
              <c16:uniqueId val="{00000001-ECF7-46C1-8738-CF6C28EB05AA}"/>
            </c:ext>
          </c:extLst>
        </c:ser>
        <c:ser>
          <c:idx val="2"/>
          <c:order val="2"/>
          <c:tx>
            <c:v>Prueba 3</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'1,27'!$H$2:$J$2</c:f>
              <c:numCache>
                <c:formatCode>General</c:formatCode>
                <c:ptCount val="3"/>
                <c:pt idx="0">
                  <c:v>700</c:v>
                </c:pt>
                <c:pt idx="1">
                  <c:v>1000</c:v>
                </c:pt>
                <c:pt idx="2">
                  <c:v>1300</c:v>
                </c:pt>
              </c:numCache>
            </c:numRef>
          </c:xVal>
          <c:yVal>
            <c:numRef>
              <c:f>'1,27'!$H$5:$J$5</c:f>
              <c:numCache>
                <c:formatCode>General</c:formatCode>
                <c:ptCount val="3"/>
                <c:pt idx="0">
                  <c:v>260</c:v>
                </c:pt>
                <c:pt idx="1">
                  <c:v>375</c:v>
                </c:pt>
                <c:pt idx="2">
                  <c:v>420</c:v>
                </c:pt>
              </c:numCache>
            </c:numRef>
          </c:yVal>
          <c:smooth val="0"/>
          <c:extLst>
            <c:ext xmlns:c16="http://schemas.microsoft.com/office/drawing/2014/chart" uri="{C3380CC4-5D6E-409C-BE32-E72D297353CC}">
              <c16:uniqueId val="{00000002-ECF7-46C1-8738-CF6C28EB05AA}"/>
            </c:ext>
          </c:extLst>
        </c:ser>
        <c:ser>
          <c:idx val="3"/>
          <c:order val="3"/>
          <c:tx>
            <c:v>Prueba 4</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'1,27'!$H$2:$J$2</c:f>
              <c:numCache>
                <c:formatCode>General</c:formatCode>
                <c:ptCount val="3"/>
                <c:pt idx="0">
                  <c:v>700</c:v>
                </c:pt>
                <c:pt idx="1">
                  <c:v>1000</c:v>
                </c:pt>
                <c:pt idx="2">
                  <c:v>1300</c:v>
                </c:pt>
              </c:numCache>
            </c:numRef>
          </c:xVal>
          <c:yVal>
            <c:numRef>
              <c:f>'1,27'!$H$6:$J$6</c:f>
              <c:numCache>
                <c:formatCode>General</c:formatCode>
                <c:ptCount val="3"/>
                <c:pt idx="0">
                  <c:v>330</c:v>
                </c:pt>
                <c:pt idx="1">
                  <c:v>480</c:v>
                </c:pt>
                <c:pt idx="2">
                  <c:v>750</c:v>
                </c:pt>
              </c:numCache>
            </c:numRef>
          </c:yVal>
          <c:smooth val="0"/>
          <c:extLst>
            <c:ext xmlns:c16="http://schemas.microsoft.com/office/drawing/2014/chart" uri="{C3380CC4-5D6E-409C-BE32-E72D297353CC}">
              <c16:uniqueId val="{00000003-ECF7-46C1-8738-CF6C28EB05AA}"/>
            </c:ext>
          </c:extLst>
        </c:ser>
        <c:dLbls>
          <c:showLegendKey val="0"/>
          <c:showVal val="0"/>
          <c:showCatName val="0"/>
          <c:showSerName val="0"/>
          <c:showPercent val="0"/>
          <c:showBubbleSize val="0"/>
        </c:dLbls>
        <c:axId val="747858431"/>
        <c:axId val="747858015"/>
      </c:scatterChart>
      <c:valAx>
        <c:axId val="747858431"/>
        <c:scaling>
          <c:orientation val="minMax"/>
          <c:min val="60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Carga en lb.</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7858015"/>
        <c:crosses val="autoZero"/>
        <c:crossBetween val="midCat"/>
      </c:valAx>
      <c:valAx>
        <c:axId val="747858015"/>
        <c:scaling>
          <c:orientation val="minMax"/>
          <c:max val="8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Desgaste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7858431"/>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 Gráfica</a:t>
            </a:r>
            <a:r>
              <a:rPr lang="en-US" baseline="0"/>
              <a:t> de puntos</a:t>
            </a:r>
            <a:endParaRPr lang="en-US"/>
          </a:p>
        </c:rich>
      </c:tx>
      <c:layout>
        <c:manualLayout>
          <c:xMode val="edge"/>
          <c:yMode val="edge"/>
          <c:x val="0.36774928774928783"/>
          <c:y val="5.06329113924050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3426729778435803E-2"/>
          <c:y val="0.23908431975804353"/>
          <c:w val="0.90055708848359772"/>
          <c:h val="0.34076584797761206"/>
        </c:manualLayout>
      </c:layout>
      <c:scatterChart>
        <c:scatterStyle val="lineMarker"/>
        <c:varyColors val="0"/>
        <c:ser>
          <c:idx val="0"/>
          <c:order val="0"/>
          <c:tx>
            <c:strRef>
              <c:f>'1,28'!$B$1</c:f>
              <c:strCache>
                <c:ptCount val="1"/>
                <c:pt idx="0">
                  <c:v>Contracción vel/baja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'1,28'!$B$2:$B$11</c:f>
              <c:numCache>
                <c:formatCode>General</c:formatCode>
                <c:ptCount val="10"/>
                <c:pt idx="0">
                  <c:v>72.680000000000007</c:v>
                </c:pt>
                <c:pt idx="1">
                  <c:v>72.62</c:v>
                </c:pt>
                <c:pt idx="2">
                  <c:v>72.58</c:v>
                </c:pt>
                <c:pt idx="3">
                  <c:v>72.48</c:v>
                </c:pt>
                <c:pt idx="4">
                  <c:v>73.069999999999993</c:v>
                </c:pt>
                <c:pt idx="5">
                  <c:v>72.55</c:v>
                </c:pt>
                <c:pt idx="6">
                  <c:v>72.42</c:v>
                </c:pt>
                <c:pt idx="7">
                  <c:v>72.84</c:v>
                </c:pt>
                <c:pt idx="8">
                  <c:v>72.58</c:v>
                </c:pt>
                <c:pt idx="9">
                  <c:v>72.92</c:v>
                </c:pt>
              </c:numCache>
            </c:numRef>
          </c:xVal>
          <c:yVal>
            <c:numRef>
              <c:f>'1,28'!$C$2:$C$11</c:f>
              <c:numCache>
                <c:formatCode>General</c:formatCode>
                <c:ptCount val="10"/>
                <c:pt idx="0">
                  <c:v>1</c:v>
                </c:pt>
                <c:pt idx="1">
                  <c:v>1</c:v>
                </c:pt>
                <c:pt idx="2">
                  <c:v>1</c:v>
                </c:pt>
                <c:pt idx="3">
                  <c:v>1</c:v>
                </c:pt>
                <c:pt idx="4">
                  <c:v>1</c:v>
                </c:pt>
                <c:pt idx="5">
                  <c:v>1</c:v>
                </c:pt>
                <c:pt idx="6">
                  <c:v>1</c:v>
                </c:pt>
                <c:pt idx="7">
                  <c:v>1</c:v>
                </c:pt>
                <c:pt idx="8">
                  <c:v>2</c:v>
                </c:pt>
                <c:pt idx="9">
                  <c:v>1</c:v>
                </c:pt>
              </c:numCache>
            </c:numRef>
          </c:yVal>
          <c:smooth val="0"/>
          <c:extLst>
            <c:ext xmlns:c16="http://schemas.microsoft.com/office/drawing/2014/chart" uri="{C3380CC4-5D6E-409C-BE32-E72D297353CC}">
              <c16:uniqueId val="{00000000-24A0-4C6D-AAC9-E10C45B54CB7}"/>
            </c:ext>
          </c:extLst>
        </c:ser>
        <c:ser>
          <c:idx val="1"/>
          <c:order val="1"/>
          <c:tx>
            <c:strRef>
              <c:f>'1,28'!$D$1</c:f>
              <c:strCache>
                <c:ptCount val="1"/>
                <c:pt idx="0">
                  <c:v>Contracción vel/alta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'1,28'!$D$2:$D$11</c:f>
              <c:numCache>
                <c:formatCode>General</c:formatCode>
                <c:ptCount val="10"/>
                <c:pt idx="0">
                  <c:v>71.62</c:v>
                </c:pt>
                <c:pt idx="1">
                  <c:v>71.680000000000007</c:v>
                </c:pt>
                <c:pt idx="2">
                  <c:v>71.739999999999995</c:v>
                </c:pt>
                <c:pt idx="3">
                  <c:v>71.48</c:v>
                </c:pt>
                <c:pt idx="4">
                  <c:v>71.55</c:v>
                </c:pt>
                <c:pt idx="5">
                  <c:v>71.52</c:v>
                </c:pt>
                <c:pt idx="6">
                  <c:v>71.709999999999994</c:v>
                </c:pt>
                <c:pt idx="7">
                  <c:v>71.56</c:v>
                </c:pt>
                <c:pt idx="8">
                  <c:v>71.7</c:v>
                </c:pt>
                <c:pt idx="9">
                  <c:v>71.5</c:v>
                </c:pt>
              </c:numCache>
            </c:numRef>
          </c:xVal>
          <c:yVal>
            <c:numRef>
              <c:f>'1,28'!$E$2:$E$11</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24A0-4C6D-AAC9-E10C45B54CB7}"/>
            </c:ext>
          </c:extLst>
        </c:ser>
        <c:dLbls>
          <c:showLegendKey val="0"/>
          <c:showVal val="0"/>
          <c:showCatName val="0"/>
          <c:showSerName val="0"/>
          <c:showPercent val="0"/>
          <c:showBubbleSize val="0"/>
        </c:dLbls>
        <c:axId val="2109372432"/>
        <c:axId val="2109367856"/>
      </c:scatterChart>
      <c:valAx>
        <c:axId val="210937243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Contracción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367856"/>
        <c:crosses val="autoZero"/>
        <c:crossBetween val="midCat"/>
      </c:valAx>
      <c:valAx>
        <c:axId val="2109367856"/>
        <c:scaling>
          <c:orientation val="minMax"/>
          <c:max val="2"/>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Cantidad</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372432"/>
        <c:crosses val="autoZero"/>
        <c:crossBetween val="midCat"/>
        <c:majorUnit val="1"/>
        <c:minorUnit val="1"/>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'1,30'!$B$1</c:f>
              <c:strCache>
                <c:ptCount val="1"/>
                <c:pt idx="0">
                  <c:v>Tiempo de vida(h)</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'1,30'!$B$2:$B$51</c:f>
              <c:numCache>
                <c:formatCode>General</c:formatCode>
                <c:ptCount val="50"/>
                <c:pt idx="0">
                  <c:v>919</c:v>
                </c:pt>
                <c:pt idx="1">
                  <c:v>1196</c:v>
                </c:pt>
                <c:pt idx="2">
                  <c:v>785</c:v>
                </c:pt>
                <c:pt idx="3">
                  <c:v>1126</c:v>
                </c:pt>
                <c:pt idx="4">
                  <c:v>936</c:v>
                </c:pt>
                <c:pt idx="5">
                  <c:v>918</c:v>
                </c:pt>
                <c:pt idx="6">
                  <c:v>1156</c:v>
                </c:pt>
                <c:pt idx="7">
                  <c:v>920</c:v>
                </c:pt>
                <c:pt idx="8">
                  <c:v>948</c:v>
                </c:pt>
                <c:pt idx="9">
                  <c:v>1067</c:v>
                </c:pt>
                <c:pt idx="10">
                  <c:v>1092</c:v>
                </c:pt>
                <c:pt idx="11">
                  <c:v>1162</c:v>
                </c:pt>
                <c:pt idx="12">
                  <c:v>1170</c:v>
                </c:pt>
                <c:pt idx="13">
                  <c:v>929</c:v>
                </c:pt>
                <c:pt idx="14">
                  <c:v>950</c:v>
                </c:pt>
                <c:pt idx="15">
                  <c:v>905</c:v>
                </c:pt>
                <c:pt idx="16">
                  <c:v>972</c:v>
                </c:pt>
                <c:pt idx="17">
                  <c:v>1035</c:v>
                </c:pt>
                <c:pt idx="18">
                  <c:v>1045</c:v>
                </c:pt>
                <c:pt idx="19">
                  <c:v>855</c:v>
                </c:pt>
                <c:pt idx="20">
                  <c:v>1195</c:v>
                </c:pt>
                <c:pt idx="21">
                  <c:v>1195</c:v>
                </c:pt>
                <c:pt idx="22">
                  <c:v>1340</c:v>
                </c:pt>
                <c:pt idx="23">
                  <c:v>1122</c:v>
                </c:pt>
                <c:pt idx="24">
                  <c:v>938</c:v>
                </c:pt>
                <c:pt idx="25">
                  <c:v>970</c:v>
                </c:pt>
                <c:pt idx="26">
                  <c:v>1237</c:v>
                </c:pt>
                <c:pt idx="27">
                  <c:v>956</c:v>
                </c:pt>
                <c:pt idx="28">
                  <c:v>1102</c:v>
                </c:pt>
                <c:pt idx="29">
                  <c:v>1157</c:v>
                </c:pt>
                <c:pt idx="30">
                  <c:v>978</c:v>
                </c:pt>
                <c:pt idx="31">
                  <c:v>832</c:v>
                </c:pt>
                <c:pt idx="32">
                  <c:v>1009</c:v>
                </c:pt>
                <c:pt idx="33">
                  <c:v>1157</c:v>
                </c:pt>
                <c:pt idx="34">
                  <c:v>1151</c:v>
                </c:pt>
                <c:pt idx="35">
                  <c:v>1009</c:v>
                </c:pt>
                <c:pt idx="36">
                  <c:v>765</c:v>
                </c:pt>
                <c:pt idx="37">
                  <c:v>958</c:v>
                </c:pt>
                <c:pt idx="38">
                  <c:v>902</c:v>
                </c:pt>
                <c:pt idx="39">
                  <c:v>1022</c:v>
                </c:pt>
                <c:pt idx="40">
                  <c:v>1333</c:v>
                </c:pt>
                <c:pt idx="41">
                  <c:v>811</c:v>
                </c:pt>
                <c:pt idx="42">
                  <c:v>1217</c:v>
                </c:pt>
                <c:pt idx="43">
                  <c:v>1085</c:v>
                </c:pt>
                <c:pt idx="44">
                  <c:v>896</c:v>
                </c:pt>
                <c:pt idx="45">
                  <c:v>958</c:v>
                </c:pt>
                <c:pt idx="46">
                  <c:v>1311</c:v>
                </c:pt>
                <c:pt idx="47">
                  <c:v>1037</c:v>
                </c:pt>
                <c:pt idx="48">
                  <c:v>702</c:v>
                </c:pt>
                <c:pt idx="49">
                  <c:v>923</c:v>
                </c:pt>
              </c:numCache>
            </c:numRef>
          </c:xVal>
          <c:yVal>
            <c:numRef>
              <c:f>'1,30'!$C$2:$C$51</c:f>
              <c:numCache>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2</c:v>
                </c:pt>
                <c:pt idx="22">
                  <c:v>1</c:v>
                </c:pt>
                <c:pt idx="23">
                  <c:v>1</c:v>
                </c:pt>
                <c:pt idx="24">
                  <c:v>1</c:v>
                </c:pt>
                <c:pt idx="25">
                  <c:v>1</c:v>
                </c:pt>
                <c:pt idx="26">
                  <c:v>1</c:v>
                </c:pt>
                <c:pt idx="27">
                  <c:v>1</c:v>
                </c:pt>
                <c:pt idx="28">
                  <c:v>1</c:v>
                </c:pt>
                <c:pt idx="29">
                  <c:v>1</c:v>
                </c:pt>
                <c:pt idx="30">
                  <c:v>1</c:v>
                </c:pt>
                <c:pt idx="31">
                  <c:v>1</c:v>
                </c:pt>
                <c:pt idx="32">
                  <c:v>1</c:v>
                </c:pt>
                <c:pt idx="33">
                  <c:v>2</c:v>
                </c:pt>
                <c:pt idx="34">
                  <c:v>1</c:v>
                </c:pt>
                <c:pt idx="35">
                  <c:v>2</c:v>
                </c:pt>
                <c:pt idx="36">
                  <c:v>1</c:v>
                </c:pt>
                <c:pt idx="37">
                  <c:v>1</c:v>
                </c:pt>
                <c:pt idx="38">
                  <c:v>1</c:v>
                </c:pt>
                <c:pt idx="39">
                  <c:v>1</c:v>
                </c:pt>
                <c:pt idx="40">
                  <c:v>1</c:v>
                </c:pt>
                <c:pt idx="41">
                  <c:v>1</c:v>
                </c:pt>
                <c:pt idx="42">
                  <c:v>1</c:v>
                </c:pt>
                <c:pt idx="43">
                  <c:v>1</c:v>
                </c:pt>
                <c:pt idx="44">
                  <c:v>1</c:v>
                </c:pt>
                <c:pt idx="45">
                  <c:v>2</c:v>
                </c:pt>
                <c:pt idx="46">
                  <c:v>1</c:v>
                </c:pt>
                <c:pt idx="47">
                  <c:v>1</c:v>
                </c:pt>
                <c:pt idx="48">
                  <c:v>1</c:v>
                </c:pt>
                <c:pt idx="49">
                  <c:v>1</c:v>
                </c:pt>
              </c:numCache>
            </c:numRef>
          </c:yVal>
          <c:smooth val="0"/>
          <c:extLst>
            <c:ext xmlns:c16="http://schemas.microsoft.com/office/drawing/2014/chart" uri="{C3380CC4-5D6E-409C-BE32-E72D297353CC}">
              <c16:uniqueId val="{00000000-BC61-40D2-B4A0-D56051F3DFEE}"/>
            </c:ext>
          </c:extLst>
        </c:ser>
        <c:dLbls>
          <c:showLegendKey val="0"/>
          <c:showVal val="0"/>
          <c:showCatName val="0"/>
          <c:showSerName val="0"/>
          <c:showPercent val="0"/>
          <c:showBubbleSize val="0"/>
        </c:dLbls>
        <c:axId val="149270096"/>
        <c:axId val="149262192"/>
      </c:scatterChart>
      <c:valAx>
        <c:axId val="149270096"/>
        <c:scaling>
          <c:orientation val="minMax"/>
          <c:min val="68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Tiempo de vida</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262192"/>
        <c:crosses val="autoZero"/>
        <c:crossBetween val="midCat"/>
      </c:valAx>
      <c:valAx>
        <c:axId val="1492621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Cantidad</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270096"/>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'1,31'!$B$1</c:f>
              <c:strCache>
                <c:ptCount val="1"/>
                <c:pt idx="0">
                  <c:v>Contracción vel/baja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'1,31'!$B$2:$B$11</c:f>
              <c:numCache>
                <c:formatCode>General</c:formatCode>
                <c:ptCount val="10"/>
                <c:pt idx="0">
                  <c:v>76.2</c:v>
                </c:pt>
                <c:pt idx="1">
                  <c:v>76.09</c:v>
                </c:pt>
                <c:pt idx="2">
                  <c:v>75.98</c:v>
                </c:pt>
                <c:pt idx="3">
                  <c:v>76.150000000000006</c:v>
                </c:pt>
                <c:pt idx="4">
                  <c:v>76.17</c:v>
                </c:pt>
                <c:pt idx="5">
                  <c:v>75.94</c:v>
                </c:pt>
                <c:pt idx="6">
                  <c:v>76.12</c:v>
                </c:pt>
                <c:pt idx="7">
                  <c:v>76.180000000000007</c:v>
                </c:pt>
                <c:pt idx="8">
                  <c:v>76.25</c:v>
                </c:pt>
                <c:pt idx="9">
                  <c:v>75.819999999999993</c:v>
                </c:pt>
              </c:numCache>
            </c:numRef>
          </c:xVal>
          <c:yVal>
            <c:numRef>
              <c:f>'1,31'!$C$2:$C$11</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12CD-42B1-A7CD-F628C94B9C30}"/>
            </c:ext>
          </c:extLst>
        </c:ser>
        <c:ser>
          <c:idx val="1"/>
          <c:order val="1"/>
          <c:tx>
            <c:strRef>
              <c:f>'1,31'!$E$1</c:f>
              <c:strCache>
                <c:ptCount val="1"/>
                <c:pt idx="0">
                  <c:v>Contracción vel/alta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'1,31'!$E$2:$E$11</c:f>
              <c:numCache>
                <c:formatCode>General</c:formatCode>
                <c:ptCount val="10"/>
                <c:pt idx="0">
                  <c:v>93.25</c:v>
                </c:pt>
                <c:pt idx="1">
                  <c:v>93.19</c:v>
                </c:pt>
                <c:pt idx="2">
                  <c:v>92.87</c:v>
                </c:pt>
                <c:pt idx="3">
                  <c:v>93.29</c:v>
                </c:pt>
                <c:pt idx="4">
                  <c:v>93.37</c:v>
                </c:pt>
                <c:pt idx="5">
                  <c:v>92.98</c:v>
                </c:pt>
                <c:pt idx="6">
                  <c:v>93.47</c:v>
                </c:pt>
                <c:pt idx="7">
                  <c:v>93.75</c:v>
                </c:pt>
                <c:pt idx="8">
                  <c:v>93.89</c:v>
                </c:pt>
                <c:pt idx="9">
                  <c:v>91.62</c:v>
                </c:pt>
              </c:numCache>
            </c:numRef>
          </c:xVal>
          <c:yVal>
            <c:numRef>
              <c:f>'1,31'!$F$2:$F$11</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12CD-42B1-A7CD-F628C94B9C30}"/>
            </c:ext>
          </c:extLst>
        </c:ser>
        <c:ser>
          <c:idx val="2"/>
          <c:order val="2"/>
          <c:tx>
            <c:strRef>
              <c:f>'1,31'!$I$1</c:f>
              <c:strCache>
                <c:ptCount val="1"/>
                <c:pt idx="0">
                  <c:v>Media vel/baja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'1,31'!$I$3</c:f>
              <c:numCache>
                <c:formatCode>General</c:formatCode>
                <c:ptCount val="1"/>
                <c:pt idx="0">
                  <c:v>76.09</c:v>
                </c:pt>
              </c:numCache>
            </c:numRef>
          </c:xVal>
          <c:yVal>
            <c:numLit>
              <c:formatCode>General</c:formatCode>
              <c:ptCount val="1"/>
              <c:pt idx="0">
                <c:v>1</c:v>
              </c:pt>
            </c:numLit>
          </c:yVal>
          <c:smooth val="0"/>
          <c:extLst>
            <c:ext xmlns:c16="http://schemas.microsoft.com/office/drawing/2014/chart" uri="{C3380CC4-5D6E-409C-BE32-E72D297353CC}">
              <c16:uniqueId val="{00000002-12CD-42B1-A7CD-F628C94B9C30}"/>
            </c:ext>
          </c:extLst>
        </c:ser>
        <c:ser>
          <c:idx val="3"/>
          <c:order val="3"/>
          <c:tx>
            <c:strRef>
              <c:f>'1,31'!$J$1</c:f>
              <c:strCache>
                <c:ptCount val="1"/>
                <c:pt idx="0">
                  <c:v>Media vel/alta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'1,31'!$J$3</c:f>
              <c:numCache>
                <c:formatCode>General</c:formatCode>
                <c:ptCount val="1"/>
                <c:pt idx="0">
                  <c:v>93.168000000000006</c:v>
                </c:pt>
              </c:numCache>
            </c:numRef>
          </c:xVal>
          <c:yVal>
            <c:numLit>
              <c:formatCode>General</c:formatCode>
              <c:ptCount val="1"/>
              <c:pt idx="0">
                <c:v>1</c:v>
              </c:pt>
            </c:numLit>
          </c:yVal>
          <c:smooth val="0"/>
          <c:extLst>
            <c:ext xmlns:c16="http://schemas.microsoft.com/office/drawing/2014/chart" uri="{C3380CC4-5D6E-409C-BE32-E72D297353CC}">
              <c16:uniqueId val="{00000003-12CD-42B1-A7CD-F628C94B9C30}"/>
            </c:ext>
          </c:extLst>
        </c:ser>
        <c:dLbls>
          <c:showLegendKey val="0"/>
          <c:showVal val="0"/>
          <c:showCatName val="0"/>
          <c:showSerName val="0"/>
          <c:showPercent val="0"/>
          <c:showBubbleSize val="0"/>
        </c:dLbls>
        <c:axId val="143739296"/>
        <c:axId val="143729728"/>
      </c:scatterChart>
      <c:valAx>
        <c:axId val="143739296"/>
        <c:scaling>
          <c:orientation val="minMax"/>
          <c:min val="75"/>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29728"/>
        <c:crosses val="autoZero"/>
        <c:crossBetween val="midCat"/>
      </c:valAx>
      <c:valAx>
        <c:axId val="143729728"/>
        <c:scaling>
          <c:orientation val="minMax"/>
          <c:max val="2"/>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39296"/>
        <c:crosses val="autoZero"/>
        <c:crossBetween val="midCat"/>
        <c:majorUnit val="1"/>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Comparativa de velocidad - temperatura - contracción</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'1,32'!$G$1:$H$1</c:f>
              <c:strCache>
                <c:ptCount val="2"/>
                <c:pt idx="0">
                  <c:v>Temperatura baja</c:v>
                </c:pt>
              </c:strCache>
            </c:strRef>
          </c:tx>
          <c:spPr>
            <a:ln w="22225" cap="rnd">
              <a:solidFill>
                <a:schemeClr val="accent1"/>
              </a:solidFill>
            </a:ln>
            <a:effectLst>
              <a:glow rad="139700">
                <a:schemeClr val="accent1">
                  <a:satMod val="175000"/>
                  <a:alpha val="14000"/>
                </a:schemeClr>
              </a:glow>
            </a:effectLst>
          </c:spPr>
          <c:marker>
            <c:symbol val="none"/>
          </c:marker>
          <c:cat>
            <c:strRef>
              <c:f>'1,32'!$G$6:$G$7</c:f>
              <c:strCache>
                <c:ptCount val="2"/>
                <c:pt idx="0">
                  <c:v>Baja</c:v>
                </c:pt>
                <c:pt idx="1">
                  <c:v>Alta</c:v>
                </c:pt>
              </c:strCache>
            </c:strRef>
          </c:cat>
          <c:val>
            <c:numRef>
              <c:f>'1,32'!$G$4:$H$4</c:f>
              <c:numCache>
                <c:formatCode>General</c:formatCode>
                <c:ptCount val="2"/>
                <c:pt idx="0">
                  <c:v>72.674000000000007</c:v>
                </c:pt>
                <c:pt idx="1">
                  <c:v>71.606000000000009</c:v>
                </c:pt>
              </c:numCache>
            </c:numRef>
          </c:val>
          <c:smooth val="0"/>
          <c:extLst>
            <c:ext xmlns:c16="http://schemas.microsoft.com/office/drawing/2014/chart" uri="{C3380CC4-5D6E-409C-BE32-E72D297353CC}">
              <c16:uniqueId val="{00000000-37A2-475C-B791-3EB9CD229EC7}"/>
            </c:ext>
          </c:extLst>
        </c:ser>
        <c:ser>
          <c:idx val="1"/>
          <c:order val="1"/>
          <c:tx>
            <c:strRef>
              <c:f>'1,32'!$I$1:$J$1</c:f>
              <c:strCache>
                <c:ptCount val="2"/>
                <c:pt idx="0">
                  <c:v>Temperatura alta</c:v>
                </c:pt>
              </c:strCache>
            </c:strRef>
          </c:tx>
          <c:spPr>
            <a:ln w="22225" cap="rnd">
              <a:solidFill>
                <a:schemeClr val="accent2"/>
              </a:solidFill>
            </a:ln>
            <a:effectLst>
              <a:glow rad="139700">
                <a:schemeClr val="accent2">
                  <a:satMod val="175000"/>
                  <a:alpha val="14000"/>
                </a:schemeClr>
              </a:glow>
            </a:effectLst>
          </c:spPr>
          <c:marker>
            <c:symbol val="none"/>
          </c:marker>
          <c:cat>
            <c:strRef>
              <c:f>'1,32'!$G$6:$G$7</c:f>
              <c:strCache>
                <c:ptCount val="2"/>
                <c:pt idx="0">
                  <c:v>Baja</c:v>
                </c:pt>
                <c:pt idx="1">
                  <c:v>Alta</c:v>
                </c:pt>
              </c:strCache>
            </c:strRef>
          </c:cat>
          <c:val>
            <c:numRef>
              <c:f>'1,32'!$I$4:$J$4</c:f>
              <c:numCache>
                <c:formatCode>General</c:formatCode>
                <c:ptCount val="2"/>
                <c:pt idx="0">
                  <c:v>76.09</c:v>
                </c:pt>
                <c:pt idx="1">
                  <c:v>93.168000000000006</c:v>
                </c:pt>
              </c:numCache>
            </c:numRef>
          </c:val>
          <c:smooth val="0"/>
          <c:extLst>
            <c:ext xmlns:c16="http://schemas.microsoft.com/office/drawing/2014/chart" uri="{C3380CC4-5D6E-409C-BE32-E72D297353CC}">
              <c16:uniqueId val="{00000001-37A2-475C-B791-3EB9CD229EC7}"/>
            </c:ext>
          </c:extLst>
        </c:ser>
        <c:dLbls>
          <c:showLegendKey val="0"/>
          <c:showVal val="0"/>
          <c:showCatName val="0"/>
          <c:showSerName val="0"/>
          <c:showPercent val="0"/>
          <c:showBubbleSize val="0"/>
        </c:dLbls>
        <c:smooth val="0"/>
        <c:axId val="18259952"/>
        <c:axId val="18264112"/>
      </c:lineChart>
      <c:catAx>
        <c:axId val="18259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Velocidad</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64112"/>
        <c:crosses val="autoZero"/>
        <c:auto val="1"/>
        <c:lblAlgn val="ctr"/>
        <c:lblOffset val="100"/>
        <c:noMultiLvlLbl val="0"/>
      </c:catAx>
      <c:valAx>
        <c:axId val="18264112"/>
        <c:scaling>
          <c:orientation val="minMax"/>
          <c:min val="65"/>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Contracción </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59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304799</xdr:colOff>
      <xdr:row>7</xdr:row>
      <xdr:rowOff>104775</xdr:rowOff>
    </xdr:from>
    <xdr:to>
      <xdr:col>16</xdr:col>
      <xdr:colOff>133350</xdr:colOff>
      <xdr:row>16</xdr:row>
      <xdr:rowOff>104774</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22</xdr:row>
      <xdr:rowOff>152400</xdr:rowOff>
    </xdr:from>
    <xdr:to>
      <xdr:col>4</xdr:col>
      <xdr:colOff>276225</xdr:colOff>
      <xdr:row>30</xdr:row>
      <xdr:rowOff>123825</xdr:rowOff>
    </xdr:to>
    <xdr:sp macro="" textlink="">
      <xdr:nvSpPr>
        <xdr:cNvPr id="7" name="CuadroTexto 6"/>
        <xdr:cNvSpPr txBox="1"/>
      </xdr:nvSpPr>
      <xdr:spPr>
        <a:xfrm>
          <a:off x="1276350" y="4429125"/>
          <a:ext cx="1343025"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chemeClr val="dk1"/>
              </a:solidFill>
              <a:effectLst/>
              <a:latin typeface="+mn-lt"/>
              <a:ea typeface="+mn-ea"/>
              <a:cs typeface="+mn-cs"/>
            </a:rPr>
            <a:t>Cálculo secuencial de la cantidad de repeticiones de un valor desde el dato actual hasta el inicio.</a:t>
          </a:r>
        </a:p>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Se utiliza para crear el gráfico de puntos.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xdr:txBody>
    </xdr:sp>
    <xdr:clientData/>
  </xdr:twoCellAnchor>
  <xdr:twoCellAnchor>
    <xdr:from>
      <xdr:col>2</xdr:col>
      <xdr:colOff>152400</xdr:colOff>
      <xdr:row>21</xdr:row>
      <xdr:rowOff>19050</xdr:rowOff>
    </xdr:from>
    <xdr:to>
      <xdr:col>2</xdr:col>
      <xdr:colOff>152400</xdr:colOff>
      <xdr:row>22</xdr:row>
      <xdr:rowOff>95250</xdr:rowOff>
    </xdr:to>
    <xdr:cxnSp macro="">
      <xdr:nvCxnSpPr>
        <xdr:cNvPr id="9" name="Conector recto de flecha 8"/>
        <xdr:cNvCxnSpPr/>
      </xdr:nvCxnSpPr>
      <xdr:spPr>
        <a:xfrm flipV="1">
          <a:off x="1419225" y="4105275"/>
          <a:ext cx="0" cy="266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21</xdr:row>
      <xdr:rowOff>28575</xdr:rowOff>
    </xdr:from>
    <xdr:to>
      <xdr:col>4</xdr:col>
      <xdr:colOff>180975</xdr:colOff>
      <xdr:row>22</xdr:row>
      <xdr:rowOff>104775</xdr:rowOff>
    </xdr:to>
    <xdr:cxnSp macro="">
      <xdr:nvCxnSpPr>
        <xdr:cNvPr id="10" name="Conector recto de flecha 9"/>
        <xdr:cNvCxnSpPr/>
      </xdr:nvCxnSpPr>
      <xdr:spPr>
        <a:xfrm flipV="1">
          <a:off x="2524125" y="4114800"/>
          <a:ext cx="0" cy="266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438150</xdr:colOff>
      <xdr:row>23</xdr:row>
      <xdr:rowOff>171450</xdr:rowOff>
    </xdr:from>
    <xdr:to>
      <xdr:col>16</xdr:col>
      <xdr:colOff>561975</xdr:colOff>
      <xdr:row>27</xdr:row>
      <xdr:rowOff>152400</xdr:rowOff>
    </xdr:to>
    <xdr:sp macro="" textlink="">
      <xdr:nvSpPr>
        <xdr:cNvPr id="11" name="CuadroTexto 10"/>
        <xdr:cNvSpPr txBox="1"/>
      </xdr:nvSpPr>
      <xdr:spPr>
        <a:xfrm>
          <a:off x="4076700" y="4752975"/>
          <a:ext cx="8029575"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chemeClr val="dk1"/>
              </a:solidFill>
              <a:effectLst/>
              <a:latin typeface="+mn-lt"/>
              <a:ea typeface="+mn-ea"/>
              <a:cs typeface="+mn-cs"/>
            </a:rPr>
            <a:t>C) En el grafico creado se nota una tendencia a disminuir la cantidad de emisiones de hidrocarburos hacia los años noventa. </a:t>
          </a:r>
          <a:endParaRPr lang="en-US" sz="1100">
            <a:solidFill>
              <a:schemeClr val="dk1"/>
            </a:solidFill>
            <a:effectLst/>
            <a:latin typeface="+mn-lt"/>
            <a:ea typeface="+mn-ea"/>
            <a:cs typeface="+mn-cs"/>
          </a:endParaRPr>
        </a:p>
        <a:p>
          <a:r>
            <a:rPr lang="es-ES" sz="1100">
              <a:solidFill>
                <a:schemeClr val="dk1"/>
              </a:solidFill>
              <a:effectLst/>
              <a:latin typeface="+mn-lt"/>
              <a:ea typeface="+mn-ea"/>
              <a:cs typeface="+mn-cs"/>
            </a:rPr>
            <a:t>Por otro lado, si analizamos la variabilidad podemos decir que la muestra de los modelos de 1980 es dispersa mientras que para la de los modelos de 1990 es mas concentrada.</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9524</xdr:colOff>
      <xdr:row>22</xdr:row>
      <xdr:rowOff>9525</xdr:rowOff>
    </xdr:from>
    <xdr:to>
      <xdr:col>10</xdr:col>
      <xdr:colOff>1162049</xdr:colOff>
      <xdr:row>36</xdr:row>
      <xdr:rowOff>85725</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14</xdr:row>
      <xdr:rowOff>57150</xdr:rowOff>
    </xdr:from>
    <xdr:to>
      <xdr:col>13</xdr:col>
      <xdr:colOff>1200150</xdr:colOff>
      <xdr:row>28</xdr:row>
      <xdr:rowOff>133350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3</xdr:row>
      <xdr:rowOff>180975</xdr:rowOff>
    </xdr:from>
    <xdr:to>
      <xdr:col>8</xdr:col>
      <xdr:colOff>590550</xdr:colOff>
      <xdr:row>7</xdr:row>
      <xdr:rowOff>180975</xdr:rowOff>
    </xdr:to>
    <xdr:sp macro="" textlink="">
      <xdr:nvSpPr>
        <xdr:cNvPr id="3" name="CuadroTexto 2"/>
        <xdr:cNvSpPr txBox="1"/>
      </xdr:nvSpPr>
      <xdr:spPr>
        <a:xfrm>
          <a:off x="2352675" y="971550"/>
          <a:ext cx="4581525"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Comparando la media recortada al 10 % con el resultado original, notamos que la muestra original contiene valores atípicos los cuales afectan al primer cálculo de la media y no tanto al segundo.</a:t>
          </a:r>
          <a:endParaRPr lang="en-US" sz="1100">
            <a:solidFill>
              <a:schemeClr val="dk1"/>
            </a:solidFill>
            <a:effectLst/>
            <a:latin typeface="+mn-lt"/>
            <a:ea typeface="+mn-ea"/>
            <a:cs typeface="+mn-cs"/>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0</xdr:rowOff>
    </xdr:from>
    <xdr:to>
      <xdr:col>5</xdr:col>
      <xdr:colOff>314326</xdr:colOff>
      <xdr:row>18</xdr:row>
      <xdr:rowOff>76200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18</xdr:row>
      <xdr:rowOff>76200</xdr:rowOff>
    </xdr:from>
    <xdr:to>
      <xdr:col>5</xdr:col>
      <xdr:colOff>314325</xdr:colOff>
      <xdr:row>21</xdr:row>
      <xdr:rowOff>95250</xdr:rowOff>
    </xdr:to>
    <xdr:sp macro="" textlink="">
      <xdr:nvSpPr>
        <xdr:cNvPr id="4" name="CuadroTexto 3"/>
        <xdr:cNvSpPr txBox="1"/>
      </xdr:nvSpPr>
      <xdr:spPr>
        <a:xfrm>
          <a:off x="9525" y="3505200"/>
          <a:ext cx="3743325"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b) Observando el grafico creado en el inciso podemos ver que parece existir una clara relación. A mayor pero mayor desgaste.</a:t>
          </a:r>
          <a:endParaRPr lang="en-US" sz="1100">
            <a:solidFill>
              <a:schemeClr val="dk1"/>
            </a:solidFill>
            <a:effectLst/>
            <a:latin typeface="+mn-lt"/>
            <a:ea typeface="+mn-ea"/>
            <a:cs typeface="+mn-cs"/>
          </a:endParaRPr>
        </a:p>
        <a:p>
          <a:endParaRPr lang="en-US" sz="1100"/>
        </a:p>
      </xdr:txBody>
    </xdr:sp>
    <xdr:clientData/>
  </xdr:twoCellAnchor>
  <xdr:twoCellAnchor>
    <xdr:from>
      <xdr:col>10</xdr:col>
      <xdr:colOff>9525</xdr:colOff>
      <xdr:row>0</xdr:row>
      <xdr:rowOff>0</xdr:rowOff>
    </xdr:from>
    <xdr:to>
      <xdr:col>16</xdr:col>
      <xdr:colOff>228600</xdr:colOff>
      <xdr:row>16</xdr:row>
      <xdr:rowOff>161925</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561975</xdr:colOff>
      <xdr:row>17</xdr:row>
      <xdr:rowOff>28575</xdr:rowOff>
    </xdr:from>
    <xdr:to>
      <xdr:col>15</xdr:col>
      <xdr:colOff>476250</xdr:colOff>
      <xdr:row>23</xdr:row>
      <xdr:rowOff>0</xdr:rowOff>
    </xdr:to>
    <xdr:sp macro="" textlink="">
      <xdr:nvSpPr>
        <xdr:cNvPr id="2" name="CuadroTexto 1"/>
        <xdr:cNvSpPr txBox="1"/>
      </xdr:nvSpPr>
      <xdr:spPr>
        <a:xfrm>
          <a:off x="7810500" y="3267075"/>
          <a:ext cx="3724275"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d) A partir de la gráfica del inciso c) podemos decir que en la misma no se muestra una relación clara como en la primera gráfica. Esto sucede ya que en la gráfica del inciso c) para 2 de las 4 pruebas en al utilizar la máxima carga el desgaste disminuye con respecto al anterior.</a:t>
          </a:r>
          <a:endParaRPr lang="en-US" sz="1100">
            <a:solidFill>
              <a:schemeClr val="dk1"/>
            </a:solidFill>
            <a:effectLst/>
            <a:latin typeface="+mn-lt"/>
            <a:ea typeface="+mn-ea"/>
            <a:cs typeface="+mn-cs"/>
          </a:endParaRP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761999</xdr:colOff>
      <xdr:row>1</xdr:row>
      <xdr:rowOff>0</xdr:rowOff>
    </xdr:from>
    <xdr:to>
      <xdr:col>14</xdr:col>
      <xdr:colOff>752474</xdr:colOff>
      <xdr:row>9</xdr:row>
      <xdr:rowOff>95249</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10</xdr:row>
      <xdr:rowOff>19050</xdr:rowOff>
    </xdr:from>
    <xdr:to>
      <xdr:col>13</xdr:col>
      <xdr:colOff>714375</xdr:colOff>
      <xdr:row>17</xdr:row>
      <xdr:rowOff>180975</xdr:rowOff>
    </xdr:to>
    <xdr:sp macro="" textlink="">
      <xdr:nvSpPr>
        <xdr:cNvPr id="3" name="CuadroTexto 2"/>
        <xdr:cNvSpPr txBox="1"/>
      </xdr:nvSpPr>
      <xdr:spPr>
        <a:xfrm>
          <a:off x="5019675" y="2114550"/>
          <a:ext cx="5191125"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chemeClr val="dk1"/>
              </a:solidFill>
              <a:effectLst/>
              <a:latin typeface="+mn-lt"/>
              <a:ea typeface="+mn-ea"/>
              <a:cs typeface="+mn-cs"/>
            </a:rPr>
            <a:t>Analizando la gráfica tomando en cuenta la variabilidad, en ambas muestras podemos ver que la realizada a una velocidad alta tiene una dispersión concentrada mientras que la que se realizó a velocidad baja tiende a ser mucho más dispersa.</a:t>
          </a:r>
          <a:endParaRPr lang="en-US" sz="1100">
            <a:solidFill>
              <a:schemeClr val="dk1"/>
            </a:solidFill>
            <a:effectLst/>
            <a:latin typeface="+mn-lt"/>
            <a:ea typeface="+mn-ea"/>
            <a:cs typeface="+mn-cs"/>
          </a:endParaRPr>
        </a:p>
        <a:p>
          <a:r>
            <a:rPr lang="es-ES" sz="1100">
              <a:solidFill>
                <a:schemeClr val="dk1"/>
              </a:solidFill>
              <a:effectLst/>
              <a:latin typeface="+mn-lt"/>
              <a:ea typeface="+mn-ea"/>
              <a:cs typeface="+mn-cs"/>
            </a:rPr>
            <a:t>Además, podemos observar que a velocidad baja hay mayor contracción que a velocidad alta en el material.</a:t>
          </a:r>
          <a:endParaRPr lang="en-US" sz="1100">
            <a:solidFill>
              <a:schemeClr val="dk1"/>
            </a:solidFill>
            <a:effectLst/>
            <a:latin typeface="+mn-lt"/>
            <a:ea typeface="+mn-ea"/>
            <a:cs typeface="+mn-cs"/>
          </a:endParaRPr>
        </a:p>
        <a:p>
          <a:r>
            <a:rPr lang="es-ES" sz="1100">
              <a:solidFill>
                <a:schemeClr val="dk1"/>
              </a:solidFill>
              <a:effectLst/>
              <a:latin typeface="+mn-lt"/>
              <a:ea typeface="+mn-ea"/>
              <a:cs typeface="+mn-cs"/>
            </a:rPr>
            <a:t>Tomando lo anterior en cuenta podemos concluir que a velocidad más alta obtenemos menor contracción del material a la vez que podemos estimar de forma más precisa el valor final ya que presenta una menor variabilidad.</a:t>
          </a:r>
          <a:endParaRPr lang="en-US" sz="1100">
            <a:solidFill>
              <a:schemeClr val="dk1"/>
            </a:solidFill>
            <a:effectLst/>
            <a:latin typeface="+mn-lt"/>
            <a:ea typeface="+mn-ea"/>
            <a:cs typeface="+mn-cs"/>
          </a:endParaRPr>
        </a:p>
        <a:p>
          <a:endParaRPr lang="en-US" sz="1100"/>
        </a:p>
      </xdr:txBody>
    </xdr:sp>
    <xdr:clientData/>
  </xdr:twoCellAnchor>
  <xdr:twoCellAnchor>
    <xdr:from>
      <xdr:col>2</xdr:col>
      <xdr:colOff>428625</xdr:colOff>
      <xdr:row>12</xdr:row>
      <xdr:rowOff>180975</xdr:rowOff>
    </xdr:from>
    <xdr:to>
      <xdr:col>4</xdr:col>
      <xdr:colOff>409575</xdr:colOff>
      <xdr:row>20</xdr:row>
      <xdr:rowOff>152400</xdr:rowOff>
    </xdr:to>
    <xdr:sp macro="" textlink="">
      <xdr:nvSpPr>
        <xdr:cNvPr id="4" name="CuadroTexto 3"/>
        <xdr:cNvSpPr txBox="1"/>
      </xdr:nvSpPr>
      <xdr:spPr>
        <a:xfrm>
          <a:off x="1543050" y="2657475"/>
          <a:ext cx="1504950"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solidFill>
                <a:schemeClr val="dk1"/>
              </a:solidFill>
              <a:effectLst/>
              <a:latin typeface="+mn-lt"/>
              <a:ea typeface="+mn-ea"/>
              <a:cs typeface="+mn-cs"/>
            </a:rPr>
            <a:t>Cálculo secuencial de la cantidad de repeticiones de un valor desde el dato actual hasta el inicio.</a:t>
          </a:r>
        </a:p>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Se utiliza para crear el gráfico de puntos.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xdr:txBody>
    </xdr:sp>
    <xdr:clientData/>
  </xdr:twoCellAnchor>
  <xdr:twoCellAnchor>
    <xdr:from>
      <xdr:col>2</xdr:col>
      <xdr:colOff>571500</xdr:colOff>
      <xdr:row>11</xdr:row>
      <xdr:rowOff>47625</xdr:rowOff>
    </xdr:from>
    <xdr:to>
      <xdr:col>2</xdr:col>
      <xdr:colOff>571500</xdr:colOff>
      <xdr:row>12</xdr:row>
      <xdr:rowOff>123825</xdr:rowOff>
    </xdr:to>
    <xdr:cxnSp macro="">
      <xdr:nvCxnSpPr>
        <xdr:cNvPr id="5" name="Conector recto de flecha 4"/>
        <xdr:cNvCxnSpPr/>
      </xdr:nvCxnSpPr>
      <xdr:spPr>
        <a:xfrm flipV="1">
          <a:off x="1685925" y="2333625"/>
          <a:ext cx="0" cy="266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314325</xdr:colOff>
      <xdr:row>11</xdr:row>
      <xdr:rowOff>57150</xdr:rowOff>
    </xdr:from>
    <xdr:to>
      <xdr:col>4</xdr:col>
      <xdr:colOff>314325</xdr:colOff>
      <xdr:row>12</xdr:row>
      <xdr:rowOff>133350</xdr:rowOff>
    </xdr:to>
    <xdr:cxnSp macro="">
      <xdr:nvCxnSpPr>
        <xdr:cNvPr id="6" name="Conector recto de flecha 5"/>
        <xdr:cNvCxnSpPr/>
      </xdr:nvCxnSpPr>
      <xdr:spPr>
        <a:xfrm flipV="1">
          <a:off x="2952750" y="2343150"/>
          <a:ext cx="0" cy="266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14286</xdr:colOff>
      <xdr:row>1</xdr:row>
      <xdr:rowOff>190499</xdr:rowOff>
    </xdr:from>
    <xdr:to>
      <xdr:col>17</xdr:col>
      <xdr:colOff>0</xdr:colOff>
      <xdr:row>11</xdr:row>
      <xdr:rowOff>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4761</xdr:colOff>
      <xdr:row>11</xdr:row>
      <xdr:rowOff>190499</xdr:rowOff>
    </xdr:from>
    <xdr:to>
      <xdr:col>17</xdr:col>
      <xdr:colOff>0</xdr:colOff>
      <xdr:row>20</xdr:row>
      <xdr:rowOff>9524</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20</xdr:row>
      <xdr:rowOff>9526</xdr:rowOff>
    </xdr:from>
    <xdr:to>
      <xdr:col>14</xdr:col>
      <xdr:colOff>0</xdr:colOff>
      <xdr:row>30</xdr:row>
      <xdr:rowOff>0</xdr:rowOff>
    </xdr:to>
    <xdr:sp macro="" textlink="">
      <xdr:nvSpPr>
        <xdr:cNvPr id="3" name="CuadroTexto 2"/>
        <xdr:cNvSpPr txBox="1"/>
      </xdr:nvSpPr>
      <xdr:spPr>
        <a:xfrm>
          <a:off x="5172075" y="4200526"/>
          <a:ext cx="5362575" cy="1895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Analizando la gráfica ahora con las muestras tomadas a temperatura alta, podemos observar el efecto contrario al estudio anterior ya que a velocidad baja obtenemos un grado de predictibilidad del valor final más alto debido a su baja dispersión. Caso contrario a velocidad alta ya que se observa mayor dispersión acompañada de una contracción notablemente mas alta.</a:t>
          </a:r>
        </a:p>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Finalmente comparando las dos muestras podemos observar una clara interacción entre la velocidad y la temperatura, donde como regla general al trabajar con una temperatura alta obtenemos una mayor contracción ya sea a baja o alta velocidad. Mientras que a temperatura baja obtenemos menor contracción siendo la forma más óptima a velocidad alta ya que tiene una variabilidad mucho menor que a velocidad baja.</a:t>
          </a:r>
          <a:endParaRPr lang="en-US"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4760</xdr:colOff>
      <xdr:row>5</xdr:row>
      <xdr:rowOff>0</xdr:rowOff>
    </xdr:from>
    <xdr:to>
      <xdr:col>12</xdr:col>
      <xdr:colOff>761999</xdr:colOff>
      <xdr:row>20</xdr:row>
      <xdr:rowOff>0</xdr:rowOff>
    </xdr:to>
    <xdr:graphicFrame macro="">
      <xdr:nvGraphicFramePr>
        <xdr:cNvPr id="12" name="Gráfico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20</xdr:row>
      <xdr:rowOff>0</xdr:rowOff>
    </xdr:from>
    <xdr:to>
      <xdr:col>13</xdr:col>
      <xdr:colOff>0</xdr:colOff>
      <xdr:row>24</xdr:row>
      <xdr:rowOff>0</xdr:rowOff>
    </xdr:to>
    <xdr:sp macro="" textlink="">
      <xdr:nvSpPr>
        <xdr:cNvPr id="13" name="CuadroTexto 12"/>
        <xdr:cNvSpPr txBox="1"/>
      </xdr:nvSpPr>
      <xdr:spPr>
        <a:xfrm>
          <a:off x="4171950" y="4000500"/>
          <a:ext cx="53340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mn-lt"/>
              <a:ea typeface="+mn-ea"/>
              <a:cs typeface="+mn-cs"/>
            </a:rPr>
            <a:t>Si un analista intentara obtener resultados sin poder tener control sobre las distintas temperaturas y velocidades sería muy difícil que se pudiera identificar la relación entre la velocidad y la temperatura, y la forma óptima de utilizarlas.</a:t>
          </a:r>
          <a:endParaRPr lang="en-US" sz="110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90" sqref="D90"/>
    </sheetView>
  </sheetViews>
  <sheetFormatPr baseColWidth="10" defaultRowHeight="15" x14ac:dyDescent="0.25"/>
  <sheetData>
    <row r="1" spans="1:2" x14ac:dyDescent="0.25">
      <c r="A1" t="s">
        <v>3</v>
      </c>
    </row>
    <row r="3" spans="1:2" x14ac:dyDescent="0.25">
      <c r="A3" t="s">
        <v>4</v>
      </c>
    </row>
    <row r="4" spans="1:2" x14ac:dyDescent="0.25">
      <c r="A4">
        <v>105</v>
      </c>
      <c r="B4">
        <v>1</v>
      </c>
    </row>
    <row r="5" spans="1:2" x14ac:dyDescent="0.25">
      <c r="A5">
        <v>141</v>
      </c>
      <c r="B5">
        <v>1</v>
      </c>
    </row>
    <row r="6" spans="1:2" x14ac:dyDescent="0.25">
      <c r="A6">
        <v>188</v>
      </c>
      <c r="B6">
        <v>1</v>
      </c>
    </row>
    <row r="7" spans="1:2" x14ac:dyDescent="0.25">
      <c r="A7">
        <v>190</v>
      </c>
      <c r="B7">
        <v>1</v>
      </c>
    </row>
    <row r="8" spans="1:2" x14ac:dyDescent="0.25">
      <c r="A8">
        <v>200</v>
      </c>
      <c r="B8">
        <v>1</v>
      </c>
    </row>
    <row r="9" spans="1:2" x14ac:dyDescent="0.25">
      <c r="A9">
        <v>210</v>
      </c>
      <c r="B9">
        <v>1</v>
      </c>
    </row>
    <row r="10" spans="1:2" x14ac:dyDescent="0.25">
      <c r="A10">
        <v>223</v>
      </c>
      <c r="B10">
        <v>1</v>
      </c>
    </row>
    <row r="11" spans="1:2" x14ac:dyDescent="0.25">
      <c r="A11">
        <v>241</v>
      </c>
      <c r="B11">
        <v>1</v>
      </c>
    </row>
    <row r="12" spans="1:2" x14ac:dyDescent="0.25">
      <c r="A12">
        <v>241</v>
      </c>
      <c r="B12">
        <v>2</v>
      </c>
    </row>
    <row r="13" spans="1:2" x14ac:dyDescent="0.25">
      <c r="A13">
        <v>247</v>
      </c>
      <c r="B13">
        <v>1</v>
      </c>
    </row>
    <row r="14" spans="1:2" x14ac:dyDescent="0.25">
      <c r="A14">
        <v>300</v>
      </c>
      <c r="B14">
        <v>1</v>
      </c>
    </row>
    <row r="15" spans="1:2" x14ac:dyDescent="0.25">
      <c r="A15">
        <v>306</v>
      </c>
      <c r="B15">
        <v>1</v>
      </c>
    </row>
    <row r="16" spans="1:2" x14ac:dyDescent="0.25">
      <c r="A16">
        <v>359</v>
      </c>
      <c r="B16">
        <v>1</v>
      </c>
    </row>
    <row r="17" spans="1:2" x14ac:dyDescent="0.25">
      <c r="A17">
        <v>380</v>
      </c>
      <c r="B17">
        <v>1</v>
      </c>
    </row>
    <row r="18" spans="1:2" x14ac:dyDescent="0.25">
      <c r="A18">
        <v>435</v>
      </c>
      <c r="B18">
        <v>1</v>
      </c>
    </row>
    <row r="19" spans="1:2" x14ac:dyDescent="0.25">
      <c r="A19">
        <v>494</v>
      </c>
      <c r="B19">
        <v>1</v>
      </c>
    </row>
    <row r="20" spans="1:2" x14ac:dyDescent="0.25">
      <c r="A20">
        <v>880</v>
      </c>
      <c r="B20">
        <v>1</v>
      </c>
    </row>
    <row r="21" spans="1:2" x14ac:dyDescent="0.25">
      <c r="A21">
        <v>882</v>
      </c>
      <c r="B21">
        <v>1</v>
      </c>
    </row>
    <row r="22" spans="1:2" x14ac:dyDescent="0.25">
      <c r="A22">
        <v>940</v>
      </c>
      <c r="B22">
        <v>1</v>
      </c>
    </row>
    <row r="23" spans="1:2" x14ac:dyDescent="0.25">
      <c r="A23">
        <v>940</v>
      </c>
      <c r="B23">
        <v>2</v>
      </c>
    </row>
    <row r="25" spans="1:2" x14ac:dyDescent="0.25">
      <c r="A25" t="s">
        <v>5</v>
      </c>
    </row>
    <row r="26" spans="1:2" x14ac:dyDescent="0.25">
      <c r="A26">
        <v>105</v>
      </c>
      <c r="B26">
        <v>1</v>
      </c>
    </row>
    <row r="27" spans="1:2" x14ac:dyDescent="0.25">
      <c r="A27">
        <v>141</v>
      </c>
      <c r="B27">
        <v>1</v>
      </c>
    </row>
    <row r="28" spans="1:2" x14ac:dyDescent="0.25">
      <c r="A28">
        <v>188</v>
      </c>
      <c r="B28">
        <v>1</v>
      </c>
    </row>
    <row r="29" spans="1:2" x14ac:dyDescent="0.25">
      <c r="A29">
        <v>190</v>
      </c>
      <c r="B29">
        <v>1</v>
      </c>
    </row>
    <row r="30" spans="1:2" x14ac:dyDescent="0.25">
      <c r="A30">
        <v>200</v>
      </c>
      <c r="B30">
        <v>1</v>
      </c>
    </row>
    <row r="31" spans="1:2" x14ac:dyDescent="0.25">
      <c r="A31">
        <v>210</v>
      </c>
      <c r="B31">
        <v>1</v>
      </c>
    </row>
    <row r="32" spans="1:2" x14ac:dyDescent="0.25">
      <c r="A32">
        <v>223</v>
      </c>
      <c r="B32">
        <v>1</v>
      </c>
    </row>
    <row r="33" spans="1:4" x14ac:dyDescent="0.25">
      <c r="A33">
        <v>241</v>
      </c>
      <c r="B33">
        <v>1</v>
      </c>
    </row>
    <row r="34" spans="1:4" x14ac:dyDescent="0.25">
      <c r="A34">
        <v>241</v>
      </c>
      <c r="B34">
        <v>2</v>
      </c>
    </row>
    <row r="35" spans="1:4" x14ac:dyDescent="0.25">
      <c r="A35">
        <v>247</v>
      </c>
      <c r="B35">
        <v>1</v>
      </c>
    </row>
    <row r="36" spans="1:4" x14ac:dyDescent="0.25">
      <c r="A36">
        <v>300</v>
      </c>
      <c r="B36">
        <v>1</v>
      </c>
    </row>
    <row r="37" spans="1:4" x14ac:dyDescent="0.25">
      <c r="A37">
        <v>306</v>
      </c>
      <c r="B37">
        <v>1</v>
      </c>
    </row>
    <row r="38" spans="1:4" x14ac:dyDescent="0.25">
      <c r="A38">
        <v>359</v>
      </c>
      <c r="B38">
        <v>1</v>
      </c>
    </row>
    <row r="39" spans="1:4" x14ac:dyDescent="0.25">
      <c r="A39">
        <v>380</v>
      </c>
      <c r="B39">
        <v>1</v>
      </c>
    </row>
    <row r="40" spans="1:4" x14ac:dyDescent="0.25">
      <c r="A40">
        <v>435</v>
      </c>
      <c r="B40">
        <v>1</v>
      </c>
    </row>
    <row r="41" spans="1:4" x14ac:dyDescent="0.25">
      <c r="A41">
        <v>494</v>
      </c>
      <c r="B41">
        <v>1</v>
      </c>
    </row>
    <row r="42" spans="1:4" x14ac:dyDescent="0.25">
      <c r="A42">
        <v>880</v>
      </c>
      <c r="B42">
        <v>1</v>
      </c>
    </row>
    <row r="43" spans="1:4" x14ac:dyDescent="0.25">
      <c r="A43">
        <v>882</v>
      </c>
      <c r="B43">
        <v>1</v>
      </c>
    </row>
    <row r="44" spans="1:4" x14ac:dyDescent="0.25">
      <c r="A44">
        <v>940</v>
      </c>
      <c r="B44">
        <v>1</v>
      </c>
    </row>
    <row r="45" spans="1:4" x14ac:dyDescent="0.25">
      <c r="A45">
        <v>940</v>
      </c>
      <c r="B45">
        <v>2</v>
      </c>
    </row>
    <row r="47" spans="1:4" x14ac:dyDescent="0.25">
      <c r="A47" t="s">
        <v>6</v>
      </c>
    </row>
    <row r="48" spans="1:4" x14ac:dyDescent="0.25">
      <c r="A48">
        <v>105</v>
      </c>
      <c r="B48">
        <v>1</v>
      </c>
      <c r="C48">
        <v>20</v>
      </c>
      <c r="D48">
        <v>1</v>
      </c>
    </row>
    <row r="49" spans="1:4" x14ac:dyDescent="0.25">
      <c r="A49">
        <v>141</v>
      </c>
      <c r="B49">
        <v>1</v>
      </c>
      <c r="C49">
        <v>20</v>
      </c>
      <c r="D49">
        <v>2</v>
      </c>
    </row>
    <row r="50" spans="1:4" x14ac:dyDescent="0.25">
      <c r="A50">
        <v>188</v>
      </c>
      <c r="B50">
        <v>1</v>
      </c>
      <c r="C50">
        <v>20</v>
      </c>
      <c r="D50">
        <v>3</v>
      </c>
    </row>
    <row r="51" spans="1:4" x14ac:dyDescent="0.25">
      <c r="A51">
        <v>190</v>
      </c>
      <c r="B51">
        <v>1</v>
      </c>
      <c r="C51">
        <v>58</v>
      </c>
      <c r="D51">
        <v>1</v>
      </c>
    </row>
    <row r="52" spans="1:4" x14ac:dyDescent="0.25">
      <c r="A52">
        <v>200</v>
      </c>
      <c r="B52">
        <v>1</v>
      </c>
      <c r="C52">
        <v>60</v>
      </c>
      <c r="D52">
        <v>1</v>
      </c>
    </row>
    <row r="53" spans="1:4" x14ac:dyDescent="0.25">
      <c r="A53">
        <v>210</v>
      </c>
      <c r="B53">
        <v>1</v>
      </c>
      <c r="C53">
        <v>65</v>
      </c>
      <c r="D53">
        <v>1</v>
      </c>
    </row>
    <row r="54" spans="1:4" x14ac:dyDescent="0.25">
      <c r="A54">
        <v>223</v>
      </c>
      <c r="B54">
        <v>1</v>
      </c>
      <c r="C54">
        <v>70</v>
      </c>
      <c r="D54">
        <v>1</v>
      </c>
    </row>
    <row r="55" spans="1:4" x14ac:dyDescent="0.25">
      <c r="A55">
        <v>241</v>
      </c>
      <c r="B55">
        <v>1</v>
      </c>
      <c r="C55">
        <v>85</v>
      </c>
      <c r="D55">
        <v>1</v>
      </c>
    </row>
    <row r="56" spans="1:4" x14ac:dyDescent="0.25">
      <c r="A56">
        <v>241</v>
      </c>
      <c r="B56">
        <v>2</v>
      </c>
      <c r="C56">
        <v>95</v>
      </c>
      <c r="D56">
        <v>1</v>
      </c>
    </row>
    <row r="57" spans="1:4" x14ac:dyDescent="0.25">
      <c r="A57">
        <v>247</v>
      </c>
      <c r="B57">
        <v>1</v>
      </c>
      <c r="C57">
        <v>140</v>
      </c>
      <c r="D57">
        <v>1</v>
      </c>
    </row>
    <row r="58" spans="1:4" x14ac:dyDescent="0.25">
      <c r="A58">
        <v>300</v>
      </c>
      <c r="B58">
        <v>1</v>
      </c>
      <c r="C58">
        <v>160</v>
      </c>
      <c r="D58">
        <v>1</v>
      </c>
    </row>
    <row r="59" spans="1:4" x14ac:dyDescent="0.25">
      <c r="A59">
        <v>306</v>
      </c>
      <c r="B59">
        <v>1</v>
      </c>
      <c r="C59">
        <v>175</v>
      </c>
      <c r="D59">
        <v>1</v>
      </c>
    </row>
    <row r="60" spans="1:4" x14ac:dyDescent="0.25">
      <c r="A60">
        <v>359</v>
      </c>
      <c r="B60">
        <v>1</v>
      </c>
      <c r="C60">
        <v>200</v>
      </c>
      <c r="D60">
        <v>1</v>
      </c>
    </row>
    <row r="61" spans="1:4" x14ac:dyDescent="0.25">
      <c r="A61">
        <v>380</v>
      </c>
      <c r="B61">
        <v>1</v>
      </c>
      <c r="C61">
        <v>217</v>
      </c>
      <c r="D61">
        <v>1</v>
      </c>
    </row>
    <row r="62" spans="1:4" x14ac:dyDescent="0.25">
      <c r="A62">
        <v>435</v>
      </c>
      <c r="B62">
        <v>1</v>
      </c>
      <c r="C62">
        <v>220</v>
      </c>
      <c r="D62">
        <v>1</v>
      </c>
    </row>
    <row r="63" spans="1:4" x14ac:dyDescent="0.25">
      <c r="A63">
        <v>494</v>
      </c>
      <c r="B63">
        <v>1</v>
      </c>
      <c r="C63">
        <v>223</v>
      </c>
      <c r="D63">
        <v>1</v>
      </c>
    </row>
    <row r="64" spans="1:4" x14ac:dyDescent="0.25">
      <c r="A64">
        <v>880</v>
      </c>
      <c r="B64">
        <v>1</v>
      </c>
      <c r="C64">
        <v>235</v>
      </c>
      <c r="D64">
        <v>1</v>
      </c>
    </row>
    <row r="65" spans="1:4" x14ac:dyDescent="0.25">
      <c r="A65">
        <v>882</v>
      </c>
      <c r="B65">
        <v>1</v>
      </c>
      <c r="C65">
        <v>360</v>
      </c>
      <c r="D65">
        <v>1</v>
      </c>
    </row>
    <row r="66" spans="1:4" x14ac:dyDescent="0.25">
      <c r="A66">
        <v>940</v>
      </c>
      <c r="B66">
        <v>1</v>
      </c>
      <c r="C66">
        <v>380</v>
      </c>
      <c r="D66">
        <v>1</v>
      </c>
    </row>
    <row r="67" spans="1:4" x14ac:dyDescent="0.25">
      <c r="A67">
        <v>940</v>
      </c>
      <c r="B67">
        <v>2</v>
      </c>
      <c r="C67">
        <v>400</v>
      </c>
      <c r="D67">
        <v>1</v>
      </c>
    </row>
    <row r="69" spans="1:4" x14ac:dyDescent="0.25">
      <c r="A69" t="s">
        <v>7</v>
      </c>
    </row>
    <row r="70" spans="1:4" x14ac:dyDescent="0.25">
      <c r="A70">
        <v>105</v>
      </c>
      <c r="B70">
        <v>1</v>
      </c>
    </row>
    <row r="71" spans="1:4" x14ac:dyDescent="0.25">
      <c r="A71">
        <v>141</v>
      </c>
      <c r="B71">
        <v>1</v>
      </c>
    </row>
    <row r="72" spans="1:4" x14ac:dyDescent="0.25">
      <c r="A72">
        <v>188</v>
      </c>
      <c r="B72">
        <v>1</v>
      </c>
    </row>
    <row r="73" spans="1:4" x14ac:dyDescent="0.25">
      <c r="A73">
        <v>190</v>
      </c>
      <c r="B73">
        <v>1</v>
      </c>
    </row>
    <row r="74" spans="1:4" x14ac:dyDescent="0.25">
      <c r="A74">
        <v>200</v>
      </c>
      <c r="B74">
        <v>1</v>
      </c>
    </row>
    <row r="75" spans="1:4" x14ac:dyDescent="0.25">
      <c r="A75">
        <v>210</v>
      </c>
      <c r="B75">
        <v>1</v>
      </c>
    </row>
    <row r="76" spans="1:4" x14ac:dyDescent="0.25">
      <c r="A76">
        <v>223</v>
      </c>
      <c r="B76">
        <v>1</v>
      </c>
    </row>
    <row r="77" spans="1:4" x14ac:dyDescent="0.25">
      <c r="A77">
        <v>241</v>
      </c>
      <c r="B77">
        <v>1</v>
      </c>
    </row>
    <row r="78" spans="1:4" x14ac:dyDescent="0.25">
      <c r="A78">
        <v>241</v>
      </c>
      <c r="B78">
        <v>2</v>
      </c>
    </row>
    <row r="79" spans="1:4" x14ac:dyDescent="0.25">
      <c r="A79">
        <v>247</v>
      </c>
      <c r="B79">
        <v>1</v>
      </c>
    </row>
    <row r="80" spans="1:4" x14ac:dyDescent="0.25">
      <c r="A80">
        <v>300</v>
      </c>
      <c r="B80">
        <v>1</v>
      </c>
    </row>
    <row r="81" spans="1:2" x14ac:dyDescent="0.25">
      <c r="A81">
        <v>306</v>
      </c>
      <c r="B81">
        <v>1</v>
      </c>
    </row>
    <row r="82" spans="1:2" x14ac:dyDescent="0.25">
      <c r="A82">
        <v>359</v>
      </c>
      <c r="B82">
        <v>1</v>
      </c>
    </row>
    <row r="83" spans="1:2" x14ac:dyDescent="0.25">
      <c r="A83">
        <v>380</v>
      </c>
      <c r="B83">
        <v>1</v>
      </c>
    </row>
    <row r="84" spans="1:2" x14ac:dyDescent="0.25">
      <c r="A84">
        <v>435</v>
      </c>
      <c r="B84">
        <v>1</v>
      </c>
    </row>
    <row r="85" spans="1:2" x14ac:dyDescent="0.25">
      <c r="A85">
        <v>494</v>
      </c>
      <c r="B85">
        <v>1</v>
      </c>
    </row>
    <row r="86" spans="1:2" x14ac:dyDescent="0.25">
      <c r="A86">
        <v>880</v>
      </c>
      <c r="B86">
        <v>1</v>
      </c>
    </row>
    <row r="87" spans="1:2" x14ac:dyDescent="0.25">
      <c r="A87">
        <v>882</v>
      </c>
      <c r="B87">
        <v>1</v>
      </c>
    </row>
    <row r="88" spans="1:2" x14ac:dyDescent="0.25">
      <c r="A88">
        <v>940</v>
      </c>
      <c r="B88">
        <v>1</v>
      </c>
    </row>
    <row r="89" spans="1:2" x14ac:dyDescent="0.25">
      <c r="A89">
        <v>940</v>
      </c>
      <c r="B89">
        <v>2</v>
      </c>
    </row>
    <row r="91" spans="1:2" x14ac:dyDescent="0.25">
      <c r="A91" t="s">
        <v>8</v>
      </c>
    </row>
    <row r="92" spans="1:2" x14ac:dyDescent="0.25">
      <c r="A92">
        <v>105</v>
      </c>
      <c r="B92">
        <v>1</v>
      </c>
    </row>
    <row r="93" spans="1:2" x14ac:dyDescent="0.25">
      <c r="A93">
        <v>141</v>
      </c>
      <c r="B93">
        <v>1</v>
      </c>
    </row>
    <row r="94" spans="1:2" x14ac:dyDescent="0.25">
      <c r="A94">
        <v>188</v>
      </c>
      <c r="B94">
        <v>1</v>
      </c>
    </row>
    <row r="95" spans="1:2" x14ac:dyDescent="0.25">
      <c r="A95">
        <v>190</v>
      </c>
      <c r="B95">
        <v>1</v>
      </c>
    </row>
    <row r="96" spans="1:2" x14ac:dyDescent="0.25">
      <c r="A96">
        <v>200</v>
      </c>
      <c r="B96">
        <v>1</v>
      </c>
    </row>
    <row r="97" spans="1:2" x14ac:dyDescent="0.25">
      <c r="A97">
        <v>210</v>
      </c>
      <c r="B97">
        <v>1</v>
      </c>
    </row>
    <row r="98" spans="1:2" x14ac:dyDescent="0.25">
      <c r="A98">
        <v>223</v>
      </c>
      <c r="B98">
        <v>1</v>
      </c>
    </row>
    <row r="99" spans="1:2" x14ac:dyDescent="0.25">
      <c r="A99">
        <v>241</v>
      </c>
      <c r="B99">
        <v>1</v>
      </c>
    </row>
    <row r="100" spans="1:2" x14ac:dyDescent="0.25">
      <c r="A100">
        <v>241</v>
      </c>
      <c r="B100">
        <v>2</v>
      </c>
    </row>
    <row r="101" spans="1:2" x14ac:dyDescent="0.25">
      <c r="A101">
        <v>247</v>
      </c>
      <c r="B101">
        <v>1</v>
      </c>
    </row>
    <row r="102" spans="1:2" x14ac:dyDescent="0.25">
      <c r="A102">
        <v>300</v>
      </c>
      <c r="B102">
        <v>1</v>
      </c>
    </row>
    <row r="103" spans="1:2" x14ac:dyDescent="0.25">
      <c r="A103">
        <v>306</v>
      </c>
      <c r="B103">
        <v>1</v>
      </c>
    </row>
    <row r="104" spans="1:2" x14ac:dyDescent="0.25">
      <c r="A104">
        <v>359</v>
      </c>
      <c r="B104">
        <v>1</v>
      </c>
    </row>
    <row r="105" spans="1:2" x14ac:dyDescent="0.25">
      <c r="A105">
        <v>380</v>
      </c>
      <c r="B105">
        <v>1</v>
      </c>
    </row>
    <row r="106" spans="1:2" x14ac:dyDescent="0.25">
      <c r="A106">
        <v>435</v>
      </c>
      <c r="B106">
        <v>1</v>
      </c>
    </row>
    <row r="107" spans="1:2" x14ac:dyDescent="0.25">
      <c r="A107">
        <v>494</v>
      </c>
      <c r="B107">
        <v>1</v>
      </c>
    </row>
    <row r="108" spans="1:2" x14ac:dyDescent="0.25">
      <c r="A108">
        <v>880</v>
      </c>
      <c r="B108">
        <v>1</v>
      </c>
    </row>
    <row r="109" spans="1:2" x14ac:dyDescent="0.25">
      <c r="A109">
        <v>882</v>
      </c>
      <c r="B109">
        <v>1</v>
      </c>
    </row>
    <row r="110" spans="1:2" x14ac:dyDescent="0.25">
      <c r="A110">
        <v>940</v>
      </c>
      <c r="B110">
        <v>1</v>
      </c>
    </row>
    <row r="111" spans="1:2" x14ac:dyDescent="0.25">
      <c r="A111">
        <v>940</v>
      </c>
      <c r="B111">
        <v>2</v>
      </c>
    </row>
  </sheetData>
  <sortState ref="A92:A111">
    <sortCondition ref="A9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workbookViewId="0">
      <selection activeCell="H22" sqref="H22"/>
    </sheetView>
  </sheetViews>
  <sheetFormatPr baseColWidth="10" defaultRowHeight="15" x14ac:dyDescent="0.25"/>
  <cols>
    <col min="1" max="1" width="5.85546875" customWidth="1"/>
    <col min="2" max="2" width="13.140625" customWidth="1"/>
    <col min="3" max="3" width="4.7109375" customWidth="1"/>
    <col min="4" max="4" width="13.85546875" customWidth="1"/>
    <col min="5" max="5" width="4.28515625" customWidth="1"/>
    <col min="6" max="6" width="12.7109375" customWidth="1"/>
    <col min="7" max="7" width="13.5703125" customWidth="1"/>
    <col min="8" max="8" width="13.140625" customWidth="1"/>
    <col min="12" max="12" width="11.85546875" bestFit="1" customWidth="1"/>
  </cols>
  <sheetData>
    <row r="1" spans="1:8" ht="30.75" customHeight="1" x14ac:dyDescent="0.25">
      <c r="A1" s="8" t="s">
        <v>0</v>
      </c>
      <c r="B1" s="1" t="s">
        <v>1</v>
      </c>
      <c r="C1" s="8"/>
      <c r="D1" s="1" t="s">
        <v>2</v>
      </c>
      <c r="E1" s="8"/>
      <c r="G1" s="4" t="s">
        <v>9</v>
      </c>
      <c r="H1" s="4" t="s">
        <v>10</v>
      </c>
    </row>
    <row r="2" spans="1:8" x14ac:dyDescent="0.25">
      <c r="A2" s="7">
        <v>1</v>
      </c>
      <c r="B2" s="9">
        <v>141</v>
      </c>
      <c r="C2" s="9">
        <f>COUNTIF($B$2:B2,B2)</f>
        <v>1</v>
      </c>
      <c r="D2" s="9">
        <v>140</v>
      </c>
      <c r="E2" s="9">
        <f>COUNTIFS($D$2:D2,D2)</f>
        <v>1</v>
      </c>
      <c r="F2" s="5" t="s">
        <v>11</v>
      </c>
      <c r="G2">
        <f>AVERAGE(B2:B21)</f>
        <v>395.1</v>
      </c>
      <c r="H2">
        <f>AVERAGE(D2:D21)</f>
        <v>160.15</v>
      </c>
    </row>
    <row r="3" spans="1:8" x14ac:dyDescent="0.25">
      <c r="A3" s="7">
        <v>2</v>
      </c>
      <c r="B3" s="9">
        <v>359</v>
      </c>
      <c r="C3" s="9">
        <f>COUNTIF($B$2:B3,B3)</f>
        <v>1</v>
      </c>
      <c r="D3" s="9">
        <v>160</v>
      </c>
      <c r="E3" s="9">
        <f>COUNTIFS($D$2:D3,D3)</f>
        <v>1</v>
      </c>
      <c r="F3" s="5" t="s">
        <v>12</v>
      </c>
      <c r="G3">
        <f>SUM(B2:B21)/COUNT(B2:B21)</f>
        <v>395.1</v>
      </c>
      <c r="H3">
        <f>SUM(D2:D21)/COUNT(D2:D21)</f>
        <v>160.15</v>
      </c>
    </row>
    <row r="4" spans="1:8" x14ac:dyDescent="0.25">
      <c r="A4" s="7">
        <v>3</v>
      </c>
      <c r="B4" s="9">
        <v>247</v>
      </c>
      <c r="C4" s="9">
        <f>COUNTIF($B$2:B4,B4)</f>
        <v>1</v>
      </c>
      <c r="D4" s="9">
        <v>20</v>
      </c>
      <c r="E4" s="9">
        <f>COUNTIFS($D$2:D4,D4)</f>
        <v>1</v>
      </c>
    </row>
    <row r="5" spans="1:8" x14ac:dyDescent="0.25">
      <c r="A5" s="7">
        <v>4</v>
      </c>
      <c r="B5" s="9">
        <v>940</v>
      </c>
      <c r="C5" s="9">
        <f>COUNTIF($B$2:B5,B5)</f>
        <v>1</v>
      </c>
      <c r="D5" s="9">
        <v>20</v>
      </c>
      <c r="E5" s="9">
        <f>COUNTIFS($D$2:D5,D5)</f>
        <v>2</v>
      </c>
    </row>
    <row r="6" spans="1:8" x14ac:dyDescent="0.25">
      <c r="A6" s="7">
        <v>5</v>
      </c>
      <c r="B6" s="9">
        <v>882</v>
      </c>
      <c r="C6" s="9">
        <f>COUNTIF($B$2:B6,B6)</f>
        <v>1</v>
      </c>
      <c r="D6" s="9">
        <v>223</v>
      </c>
      <c r="E6" s="9">
        <f>COUNTIFS($D$2:D6,D6)</f>
        <v>1</v>
      </c>
    </row>
    <row r="7" spans="1:8" x14ac:dyDescent="0.25">
      <c r="A7" s="7">
        <v>6</v>
      </c>
      <c r="B7" s="9">
        <v>494</v>
      </c>
      <c r="C7" s="9">
        <f>COUNTIF($B$2:B7,B7)</f>
        <v>1</v>
      </c>
      <c r="D7" s="9">
        <v>60</v>
      </c>
      <c r="E7" s="9">
        <f>COUNTIFS($D$2:D7,D7)</f>
        <v>1</v>
      </c>
    </row>
    <row r="8" spans="1:8" x14ac:dyDescent="0.25">
      <c r="A8" s="7">
        <v>7</v>
      </c>
      <c r="B8" s="9">
        <v>306</v>
      </c>
      <c r="C8" s="9">
        <f>COUNTIF($B$2:B8,B8)</f>
        <v>1</v>
      </c>
      <c r="D8" s="9">
        <v>20</v>
      </c>
      <c r="E8" s="9">
        <f>COUNTIFS($D$2:D8,D8)</f>
        <v>3</v>
      </c>
    </row>
    <row r="9" spans="1:8" x14ac:dyDescent="0.25">
      <c r="A9" s="7">
        <v>8</v>
      </c>
      <c r="B9" s="9">
        <v>210</v>
      </c>
      <c r="C9" s="9">
        <f>COUNTIF($B$2:B9,B9)</f>
        <v>1</v>
      </c>
      <c r="D9" s="9">
        <v>95</v>
      </c>
      <c r="E9" s="9">
        <f>COUNTIFS($D$2:D9,D9)</f>
        <v>1</v>
      </c>
    </row>
    <row r="10" spans="1:8" x14ac:dyDescent="0.25">
      <c r="A10" s="7">
        <v>9</v>
      </c>
      <c r="B10" s="9">
        <v>105</v>
      </c>
      <c r="C10" s="9">
        <f>COUNTIF($B$2:B10,B10)</f>
        <v>1</v>
      </c>
      <c r="D10" s="9">
        <v>360</v>
      </c>
      <c r="E10" s="9">
        <f>COUNTIFS($D$2:D10,D10)</f>
        <v>1</v>
      </c>
    </row>
    <row r="11" spans="1:8" x14ac:dyDescent="0.25">
      <c r="A11" s="7">
        <v>10</v>
      </c>
      <c r="B11" s="9">
        <v>880</v>
      </c>
      <c r="C11" s="9">
        <f>COUNTIF($B$2:B11,B11)</f>
        <v>1</v>
      </c>
      <c r="D11" s="9">
        <v>70</v>
      </c>
      <c r="E11" s="9">
        <f>COUNTIFS($D$2:D11,D11)</f>
        <v>1</v>
      </c>
    </row>
    <row r="12" spans="1:8" x14ac:dyDescent="0.25">
      <c r="A12" s="7">
        <v>11</v>
      </c>
      <c r="B12" s="9">
        <v>200</v>
      </c>
      <c r="C12" s="9">
        <f>COUNTIF($B$2:B12,B12)</f>
        <v>1</v>
      </c>
      <c r="D12" s="9">
        <v>220</v>
      </c>
      <c r="E12" s="9">
        <f>COUNTIFS($D$2:D12,D12)</f>
        <v>1</v>
      </c>
    </row>
    <row r="13" spans="1:8" x14ac:dyDescent="0.25">
      <c r="A13" s="7">
        <v>12</v>
      </c>
      <c r="B13" s="9">
        <v>223</v>
      </c>
      <c r="C13" s="9">
        <f>COUNTIF($B$2:B13,B13)</f>
        <v>1</v>
      </c>
      <c r="D13" s="9">
        <v>400</v>
      </c>
      <c r="E13" s="9">
        <f>COUNTIFS($D$2:D13,D13)</f>
        <v>1</v>
      </c>
    </row>
    <row r="14" spans="1:8" x14ac:dyDescent="0.25">
      <c r="A14" s="7">
        <v>13</v>
      </c>
      <c r="B14" s="9">
        <v>188</v>
      </c>
      <c r="C14" s="9">
        <f>COUNTIF($B$2:B14,B14)</f>
        <v>1</v>
      </c>
      <c r="D14" s="9">
        <v>217</v>
      </c>
      <c r="E14" s="9">
        <f>COUNTIFS($D$2:D14,D14)</f>
        <v>1</v>
      </c>
    </row>
    <row r="15" spans="1:8" x14ac:dyDescent="0.25">
      <c r="A15" s="7">
        <v>14</v>
      </c>
      <c r="B15" s="9">
        <v>940</v>
      </c>
      <c r="C15" s="9">
        <f>COUNTIF($B$2:B15,B15)</f>
        <v>2</v>
      </c>
      <c r="D15" s="9">
        <v>58</v>
      </c>
      <c r="E15" s="9">
        <f>COUNTIFS($D$2:D15,D15)</f>
        <v>1</v>
      </c>
    </row>
    <row r="16" spans="1:8" x14ac:dyDescent="0.25">
      <c r="A16" s="7">
        <v>15</v>
      </c>
      <c r="B16" s="9">
        <v>241</v>
      </c>
      <c r="C16" s="9">
        <f>COUNTIF($B$2:B16,B16)</f>
        <v>1</v>
      </c>
      <c r="D16" s="9">
        <v>235</v>
      </c>
      <c r="E16" s="9">
        <f>COUNTIFS($D$2:D16,D16)</f>
        <v>1</v>
      </c>
    </row>
    <row r="17" spans="1:5" x14ac:dyDescent="0.25">
      <c r="A17" s="7">
        <v>16</v>
      </c>
      <c r="B17" s="9">
        <v>190</v>
      </c>
      <c r="C17" s="9">
        <f>COUNTIF($B$2:B17,B17)</f>
        <v>1</v>
      </c>
      <c r="D17" s="9">
        <v>380</v>
      </c>
      <c r="E17" s="9">
        <f>COUNTIFS($D$2:D17,D17)</f>
        <v>1</v>
      </c>
    </row>
    <row r="18" spans="1:5" x14ac:dyDescent="0.25">
      <c r="A18" s="7">
        <v>17</v>
      </c>
      <c r="B18" s="9">
        <v>300</v>
      </c>
      <c r="C18" s="9">
        <f>COUNTIF($B$2:B18,B18)</f>
        <v>1</v>
      </c>
      <c r="D18" s="9">
        <v>200</v>
      </c>
      <c r="E18" s="9">
        <f>COUNTIFS($D$2:D18,D18)</f>
        <v>1</v>
      </c>
    </row>
    <row r="19" spans="1:5" x14ac:dyDescent="0.25">
      <c r="A19" s="7">
        <v>18</v>
      </c>
      <c r="B19" s="9">
        <v>435</v>
      </c>
      <c r="C19" s="9">
        <f>COUNTIF($B$2:B19,B19)</f>
        <v>1</v>
      </c>
      <c r="D19" s="9">
        <v>175</v>
      </c>
      <c r="E19" s="9">
        <f>COUNTIFS($D$2:D19,D19)</f>
        <v>1</v>
      </c>
    </row>
    <row r="20" spans="1:5" x14ac:dyDescent="0.25">
      <c r="A20" s="7">
        <v>19</v>
      </c>
      <c r="B20" s="9">
        <v>241</v>
      </c>
      <c r="C20" s="9">
        <f>COUNTIF($B$2:B20,B20)</f>
        <v>2</v>
      </c>
      <c r="D20" s="9">
        <v>85</v>
      </c>
      <c r="E20" s="9">
        <f>COUNTIFS($D$2:D20,D20)</f>
        <v>1</v>
      </c>
    </row>
    <row r="21" spans="1:5" x14ac:dyDescent="0.25">
      <c r="A21" s="7">
        <v>20</v>
      </c>
      <c r="B21" s="9">
        <v>380</v>
      </c>
      <c r="C21" s="9">
        <f>COUNTIF($B$2:B21,B21)</f>
        <v>1</v>
      </c>
      <c r="D21" s="9">
        <v>65</v>
      </c>
      <c r="E21" s="9">
        <f>COUNTIFS($D$2:D21,D21)</f>
        <v>1</v>
      </c>
    </row>
  </sheetData>
  <pageMargins left="0.7" right="0.7" top="0.75" bottom="0.75" header="0.3" footer="0.3"/>
  <ignoredErrors>
    <ignoredError sqref="E3:E4 E6"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selection activeCell="F4" sqref="F4"/>
    </sheetView>
  </sheetViews>
  <sheetFormatPr baseColWidth="10" defaultRowHeight="15" x14ac:dyDescent="0.25"/>
  <cols>
    <col min="1" max="1" width="9.140625" customWidth="1"/>
    <col min="2" max="3" width="14.42578125" customWidth="1"/>
    <col min="6" max="6" width="12.5703125" customWidth="1"/>
    <col min="7" max="7" width="10" customWidth="1"/>
    <col min="8" max="8" width="9.85546875" customWidth="1"/>
    <col min="9" max="9" width="28.7109375" customWidth="1"/>
    <col min="11" max="11" width="17.42578125" customWidth="1"/>
  </cols>
  <sheetData>
    <row r="1" spans="1:11" ht="33" customHeight="1" x14ac:dyDescent="0.25">
      <c r="A1" s="2" t="s">
        <v>0</v>
      </c>
      <c r="B1" s="4" t="s">
        <v>13</v>
      </c>
      <c r="C1" s="4" t="s">
        <v>16</v>
      </c>
      <c r="E1" s="11" t="s">
        <v>14</v>
      </c>
      <c r="F1" s="4" t="s">
        <v>15</v>
      </c>
      <c r="G1" s="49"/>
      <c r="H1" s="49"/>
      <c r="I1" s="6"/>
    </row>
    <row r="2" spans="1:11" x14ac:dyDescent="0.25">
      <c r="A2" s="7">
        <v>1</v>
      </c>
      <c r="B2" s="5">
        <v>1.84</v>
      </c>
      <c r="C2" s="10">
        <f>(B2-$E$2)^2</f>
        <v>1.1179537777777779</v>
      </c>
      <c r="D2" s="5" t="s">
        <v>11</v>
      </c>
      <c r="E2" s="10">
        <f>AVERAGE(B2:B31)</f>
        <v>2.8973333333333335</v>
      </c>
      <c r="F2" s="5">
        <f>_xlfn.STDEV.S(B2:B31)</f>
        <v>0.54151723845158317</v>
      </c>
      <c r="G2" s="49"/>
      <c r="H2" s="49"/>
    </row>
    <row r="3" spans="1:11" x14ac:dyDescent="0.25">
      <c r="A3" s="7">
        <v>2</v>
      </c>
      <c r="B3" s="5">
        <v>2.0499999999999998</v>
      </c>
      <c r="C3" s="10">
        <f t="shared" ref="C3:C31" si="0">(B3-$E$2)^2</f>
        <v>0.71797377777777838</v>
      </c>
      <c r="D3" s="5" t="s">
        <v>12</v>
      </c>
      <c r="E3" s="10">
        <f>SUM(B2:B31)/COUNT(B2:B31)</f>
        <v>2.8973333333333335</v>
      </c>
      <c r="F3" s="5">
        <f>SQRT(SUM(C2:C31)/(A31-1))</f>
        <v>0.54151723845158417</v>
      </c>
      <c r="G3" s="49"/>
      <c r="H3" s="49"/>
    </row>
    <row r="4" spans="1:11" x14ac:dyDescent="0.25">
      <c r="A4" s="7">
        <v>3</v>
      </c>
      <c r="B4" s="5">
        <v>2.1</v>
      </c>
      <c r="C4" s="10">
        <f t="shared" si="0"/>
        <v>0.63574044444444466</v>
      </c>
      <c r="D4" s="5"/>
      <c r="E4" s="5"/>
      <c r="F4" s="5"/>
      <c r="G4" s="49"/>
      <c r="H4" s="49"/>
    </row>
    <row r="5" spans="1:11" ht="15.75" thickBot="1" x14ac:dyDescent="0.3">
      <c r="A5" s="7">
        <v>4</v>
      </c>
      <c r="B5" s="5">
        <v>2.14</v>
      </c>
      <c r="C5" s="10">
        <f t="shared" si="0"/>
        <v>0.57355377777777794</v>
      </c>
      <c r="D5" s="5"/>
      <c r="E5" s="5"/>
      <c r="F5" s="5"/>
      <c r="G5" s="49"/>
      <c r="H5" s="49"/>
    </row>
    <row r="6" spans="1:11" ht="15.75" thickBot="1" x14ac:dyDescent="0.3">
      <c r="A6" s="7">
        <v>5</v>
      </c>
      <c r="B6" s="5">
        <v>2.37</v>
      </c>
      <c r="C6" s="10">
        <f t="shared" si="0"/>
        <v>0.27808044444444457</v>
      </c>
      <c r="D6" s="5"/>
      <c r="E6" s="5"/>
      <c r="F6" s="5"/>
      <c r="G6" s="44" t="s">
        <v>32</v>
      </c>
      <c r="H6" s="45"/>
      <c r="I6" s="45"/>
      <c r="J6" s="46"/>
    </row>
    <row r="7" spans="1:11" x14ac:dyDescent="0.25">
      <c r="A7" s="7">
        <v>6</v>
      </c>
      <c r="B7" s="5">
        <v>2.44</v>
      </c>
      <c r="C7" s="10">
        <f t="shared" si="0"/>
        <v>0.20915377777777802</v>
      </c>
      <c r="D7" s="5"/>
      <c r="E7" s="5"/>
      <c r="F7" s="5"/>
      <c r="G7" s="40" t="s">
        <v>20</v>
      </c>
      <c r="H7" s="41"/>
      <c r="I7" s="23" t="s">
        <v>21</v>
      </c>
      <c r="J7" s="24" t="s">
        <v>22</v>
      </c>
    </row>
    <row r="8" spans="1:11" x14ac:dyDescent="0.25">
      <c r="A8" s="7">
        <v>7</v>
      </c>
      <c r="B8" s="5">
        <v>2.4500000000000002</v>
      </c>
      <c r="C8" s="10">
        <f t="shared" si="0"/>
        <v>0.20010711111111112</v>
      </c>
      <c r="D8" s="5"/>
      <c r="E8" s="5"/>
      <c r="F8" s="5"/>
      <c r="G8" s="47" t="s">
        <v>28</v>
      </c>
      <c r="H8" s="48"/>
      <c r="I8" s="12">
        <v>84</v>
      </c>
      <c r="J8" s="13">
        <v>1</v>
      </c>
    </row>
    <row r="9" spans="1:11" x14ac:dyDescent="0.25">
      <c r="A9" s="7">
        <v>8</v>
      </c>
      <c r="B9" s="5">
        <v>2.52</v>
      </c>
      <c r="C9" s="10">
        <f t="shared" si="0"/>
        <v>0.14238044444444459</v>
      </c>
      <c r="D9" s="5"/>
      <c r="E9" s="5"/>
      <c r="F9" s="5"/>
      <c r="G9" s="47" t="s">
        <v>24</v>
      </c>
      <c r="H9" s="48"/>
      <c r="I9" s="12" t="s">
        <v>18</v>
      </c>
      <c r="J9" s="13">
        <v>6</v>
      </c>
    </row>
    <row r="10" spans="1:11" x14ac:dyDescent="0.25">
      <c r="A10" s="7">
        <v>9</v>
      </c>
      <c r="B10" s="5">
        <v>2.52</v>
      </c>
      <c r="C10" s="10">
        <f t="shared" si="0"/>
        <v>0.14238044444444459</v>
      </c>
      <c r="D10" s="5"/>
      <c r="E10" s="5"/>
      <c r="F10" s="5"/>
      <c r="G10" s="47" t="s">
        <v>25</v>
      </c>
      <c r="H10" s="48"/>
      <c r="I10" s="12" t="s">
        <v>23</v>
      </c>
      <c r="J10" s="13">
        <v>11</v>
      </c>
    </row>
    <row r="11" spans="1:11" x14ac:dyDescent="0.25">
      <c r="A11" s="7">
        <v>10</v>
      </c>
      <c r="B11" s="5">
        <v>2.67</v>
      </c>
      <c r="C11" s="10">
        <f t="shared" si="0"/>
        <v>5.168044444444457E-2</v>
      </c>
      <c r="D11" s="5"/>
      <c r="E11" s="5"/>
      <c r="F11" s="5"/>
      <c r="G11" s="47" t="s">
        <v>26</v>
      </c>
      <c r="H11" s="48"/>
      <c r="I11" s="12" t="s">
        <v>17</v>
      </c>
      <c r="J11" s="13">
        <v>6</v>
      </c>
    </row>
    <row r="12" spans="1:11" ht="15.75" thickBot="1" x14ac:dyDescent="0.3">
      <c r="A12" s="7">
        <v>11</v>
      </c>
      <c r="B12" s="5">
        <v>2.68</v>
      </c>
      <c r="C12" s="10">
        <f t="shared" si="0"/>
        <v>4.7233777777777798E-2</v>
      </c>
      <c r="D12" s="5"/>
      <c r="E12" s="5"/>
      <c r="F12" s="5"/>
      <c r="G12" s="42" t="s">
        <v>27</v>
      </c>
      <c r="H12" s="43"/>
      <c r="I12" s="14" t="s">
        <v>19</v>
      </c>
      <c r="J12" s="15">
        <v>6</v>
      </c>
    </row>
    <row r="13" spans="1:11" x14ac:dyDescent="0.25">
      <c r="A13" s="7">
        <v>12</v>
      </c>
      <c r="B13" s="5">
        <v>2.71</v>
      </c>
      <c r="C13" s="10">
        <f t="shared" si="0"/>
        <v>3.5093777777777869E-2</v>
      </c>
      <c r="D13" s="5"/>
      <c r="E13" s="5"/>
      <c r="F13" s="5"/>
      <c r="G13" s="16"/>
      <c r="H13" s="16"/>
      <c r="I13" s="12"/>
      <c r="J13" s="17"/>
    </row>
    <row r="14" spans="1:11" ht="15.75" thickBot="1" x14ac:dyDescent="0.3">
      <c r="A14" s="7">
        <v>13</v>
      </c>
      <c r="B14" s="5">
        <v>2.75</v>
      </c>
      <c r="C14" s="10">
        <f t="shared" si="0"/>
        <v>2.170711111111117E-2</v>
      </c>
      <c r="D14" s="5"/>
      <c r="E14" s="5"/>
      <c r="F14" s="5"/>
      <c r="G14" s="16"/>
      <c r="H14" s="16"/>
      <c r="I14" s="12"/>
      <c r="J14" s="17"/>
    </row>
    <row r="15" spans="1:11" ht="15.75" thickBot="1" x14ac:dyDescent="0.3">
      <c r="A15" s="7">
        <v>14</v>
      </c>
      <c r="B15" s="5">
        <v>2.77</v>
      </c>
      <c r="C15" s="10">
        <f t="shared" si="0"/>
        <v>1.6213777777777827E-2</v>
      </c>
      <c r="D15" s="5"/>
      <c r="E15" s="5"/>
      <c r="F15" s="5"/>
      <c r="G15" s="37" t="s">
        <v>33</v>
      </c>
      <c r="H15" s="38"/>
      <c r="I15" s="38"/>
      <c r="J15" s="38"/>
      <c r="K15" s="39"/>
    </row>
    <row r="16" spans="1:11" x14ac:dyDescent="0.25">
      <c r="A16" s="7">
        <v>15</v>
      </c>
      <c r="B16" s="5">
        <v>2.83</v>
      </c>
      <c r="C16" s="10">
        <f t="shared" si="0"/>
        <v>4.5337777777777954E-3</v>
      </c>
      <c r="D16" s="5"/>
      <c r="E16" s="5"/>
      <c r="F16" s="5"/>
      <c r="G16" s="40" t="s">
        <v>29</v>
      </c>
      <c r="H16" s="41"/>
      <c r="I16" s="25" t="s">
        <v>30</v>
      </c>
      <c r="J16" s="23" t="s">
        <v>22</v>
      </c>
      <c r="K16" s="24" t="s">
        <v>31</v>
      </c>
    </row>
    <row r="17" spans="1:11" x14ac:dyDescent="0.25">
      <c r="A17" s="7">
        <v>16</v>
      </c>
      <c r="B17" s="5">
        <v>2.89</v>
      </c>
      <c r="C17" s="10">
        <f t="shared" si="0"/>
        <v>5.377777777777896E-5</v>
      </c>
      <c r="D17" s="5"/>
      <c r="E17" s="5"/>
      <c r="F17" s="5"/>
      <c r="G17" s="18">
        <v>1.5</v>
      </c>
      <c r="H17" s="19">
        <v>1.99</v>
      </c>
      <c r="I17" s="17">
        <f>G17+((H17-G17)/2)</f>
        <v>1.7450000000000001</v>
      </c>
      <c r="J17" s="17">
        <v>1</v>
      </c>
      <c r="K17" s="13">
        <f>J17/$A$31</f>
        <v>3.3333333333333333E-2</v>
      </c>
    </row>
    <row r="18" spans="1:11" x14ac:dyDescent="0.25">
      <c r="A18" s="7">
        <v>17</v>
      </c>
      <c r="B18" s="5">
        <v>2.91</v>
      </c>
      <c r="C18" s="10">
        <f t="shared" si="0"/>
        <v>1.6044444444444285E-4</v>
      </c>
      <c r="D18" s="5"/>
      <c r="E18" s="5"/>
      <c r="F18" s="5"/>
      <c r="G18" s="18">
        <v>2</v>
      </c>
      <c r="H18" s="19">
        <v>2.4900000000000002</v>
      </c>
      <c r="I18" s="17">
        <f>G18+((H18-G18)/2)</f>
        <v>2.2450000000000001</v>
      </c>
      <c r="J18" s="17">
        <v>6</v>
      </c>
      <c r="K18" s="13">
        <f>J18/$A$31</f>
        <v>0.2</v>
      </c>
    </row>
    <row r="19" spans="1:11" x14ac:dyDescent="0.25">
      <c r="A19" s="7">
        <v>18</v>
      </c>
      <c r="B19" s="5">
        <v>2.99</v>
      </c>
      <c r="C19" s="10">
        <f t="shared" si="0"/>
        <v>8.5871111111111131E-3</v>
      </c>
      <c r="D19" s="5"/>
      <c r="E19" s="5"/>
      <c r="F19" s="5"/>
      <c r="G19" s="18">
        <v>2.5</v>
      </c>
      <c r="H19" s="19">
        <v>2.99</v>
      </c>
      <c r="I19" s="17">
        <f>G19+((H19-G19)/2)</f>
        <v>2.7450000000000001</v>
      </c>
      <c r="J19" s="17">
        <v>11</v>
      </c>
      <c r="K19" s="13">
        <f>J19/$A$31</f>
        <v>0.36666666666666664</v>
      </c>
    </row>
    <row r="20" spans="1:11" x14ac:dyDescent="0.25">
      <c r="A20" s="7">
        <v>19</v>
      </c>
      <c r="B20" s="5">
        <v>3.1</v>
      </c>
      <c r="C20" s="10">
        <f t="shared" si="0"/>
        <v>4.107377777777773E-2</v>
      </c>
      <c r="D20" s="5"/>
      <c r="E20" s="5"/>
      <c r="F20" s="5"/>
      <c r="G20" s="18">
        <v>3</v>
      </c>
      <c r="H20" s="19">
        <v>3.49</v>
      </c>
      <c r="I20" s="17">
        <f>G20+((H20-G20)/2)</f>
        <v>3.2450000000000001</v>
      </c>
      <c r="J20" s="17">
        <v>6</v>
      </c>
      <c r="K20" s="13">
        <f>J20/$A$31</f>
        <v>0.2</v>
      </c>
    </row>
    <row r="21" spans="1:11" ht="15.75" thickBot="1" x14ac:dyDescent="0.3">
      <c r="A21" s="7">
        <v>20</v>
      </c>
      <c r="B21" s="5">
        <v>3.13</v>
      </c>
      <c r="C21" s="10">
        <f t="shared" si="0"/>
        <v>5.4133777777777635E-2</v>
      </c>
      <c r="D21" s="5"/>
      <c r="E21" s="5"/>
      <c r="F21" s="5"/>
      <c r="G21" s="20">
        <v>3.5</v>
      </c>
      <c r="H21" s="21">
        <v>3.99</v>
      </c>
      <c r="I21" s="22">
        <f>G21+((H21-G21)/2)</f>
        <v>3.7450000000000001</v>
      </c>
      <c r="J21" s="22">
        <v>6</v>
      </c>
      <c r="K21" s="15">
        <f>J21/$A$31</f>
        <v>0.2</v>
      </c>
    </row>
    <row r="22" spans="1:11" x14ac:dyDescent="0.25">
      <c r="A22" s="7">
        <v>21</v>
      </c>
      <c r="B22" s="5">
        <v>3.14</v>
      </c>
      <c r="C22" s="10">
        <f t="shared" si="0"/>
        <v>5.8887111111111071E-2</v>
      </c>
      <c r="D22" s="5"/>
      <c r="E22" s="5"/>
      <c r="F22" s="5"/>
    </row>
    <row r="23" spans="1:11" x14ac:dyDescent="0.25">
      <c r="A23" s="7">
        <v>22</v>
      </c>
      <c r="B23" s="5">
        <v>3.22</v>
      </c>
      <c r="C23" s="10">
        <f t="shared" si="0"/>
        <v>0.10411377777777778</v>
      </c>
      <c r="D23" s="5"/>
      <c r="E23" s="5"/>
      <c r="F23" s="5"/>
    </row>
    <row r="24" spans="1:11" x14ac:dyDescent="0.25">
      <c r="A24" s="7">
        <v>23</v>
      </c>
      <c r="B24" s="5">
        <v>3.36</v>
      </c>
      <c r="C24" s="10">
        <f t="shared" si="0"/>
        <v>0.21406044444444414</v>
      </c>
      <c r="D24" s="5"/>
      <c r="E24" s="5"/>
      <c r="F24" s="5"/>
    </row>
    <row r="25" spans="1:11" x14ac:dyDescent="0.25">
      <c r="A25" s="7">
        <v>24</v>
      </c>
      <c r="B25" s="5">
        <v>3.37</v>
      </c>
      <c r="C25" s="10">
        <f t="shared" si="0"/>
        <v>0.22341377777777768</v>
      </c>
      <c r="D25" s="5"/>
      <c r="E25" s="5"/>
      <c r="F25" s="5"/>
    </row>
    <row r="26" spans="1:11" x14ac:dyDescent="0.25">
      <c r="A26" s="7">
        <v>25</v>
      </c>
      <c r="B26" s="5">
        <v>3.51</v>
      </c>
      <c r="C26" s="10">
        <f t="shared" si="0"/>
        <v>0.37536044444444394</v>
      </c>
      <c r="D26" s="5"/>
      <c r="E26" s="5"/>
      <c r="F26" s="5"/>
    </row>
    <row r="27" spans="1:11" x14ac:dyDescent="0.25">
      <c r="A27" s="7">
        <v>26</v>
      </c>
      <c r="B27" s="5">
        <v>3.54</v>
      </c>
      <c r="C27" s="10">
        <f t="shared" si="0"/>
        <v>0.41302044444444425</v>
      </c>
      <c r="D27" s="5"/>
      <c r="E27" s="5"/>
      <c r="F27" s="5"/>
    </row>
    <row r="28" spans="1:11" x14ac:dyDescent="0.25">
      <c r="A28" s="7">
        <v>27</v>
      </c>
      <c r="B28" s="5">
        <v>3.57</v>
      </c>
      <c r="C28" s="10">
        <f t="shared" si="0"/>
        <v>0.45248044444444396</v>
      </c>
      <c r="D28" s="5"/>
      <c r="E28" s="5"/>
      <c r="F28" s="5"/>
    </row>
    <row r="29" spans="1:11" x14ac:dyDescent="0.25">
      <c r="A29" s="7">
        <v>28</v>
      </c>
      <c r="B29" s="5">
        <v>3.71</v>
      </c>
      <c r="C29" s="10">
        <f t="shared" si="0"/>
        <v>0.66042711111111074</v>
      </c>
      <c r="D29" s="5"/>
      <c r="E29" s="5"/>
      <c r="F29" s="5"/>
    </row>
    <row r="30" spans="1:11" x14ac:dyDescent="0.25">
      <c r="A30" s="7">
        <v>29</v>
      </c>
      <c r="B30" s="5">
        <v>3.79</v>
      </c>
      <c r="C30" s="10">
        <f t="shared" si="0"/>
        <v>0.79685377777777744</v>
      </c>
      <c r="D30" s="5"/>
      <c r="E30" s="5"/>
      <c r="F30" s="5"/>
    </row>
    <row r="31" spans="1:11" x14ac:dyDescent="0.25">
      <c r="A31" s="7">
        <v>30</v>
      </c>
      <c r="B31" s="5">
        <v>3.85</v>
      </c>
      <c r="C31" s="10">
        <f t="shared" si="0"/>
        <v>0.90757377777777759</v>
      </c>
      <c r="D31" s="5"/>
      <c r="E31" s="5"/>
      <c r="F31" s="5"/>
    </row>
  </sheetData>
  <sortState ref="B2:B31">
    <sortCondition ref="B2:B31"/>
  </sortState>
  <mergeCells count="14">
    <mergeCell ref="G5:H5"/>
    <mergeCell ref="G4:H4"/>
    <mergeCell ref="G3:H3"/>
    <mergeCell ref="G2:H2"/>
    <mergeCell ref="G1:H1"/>
    <mergeCell ref="G15:K15"/>
    <mergeCell ref="G16:H16"/>
    <mergeCell ref="G12:H12"/>
    <mergeCell ref="G6:J6"/>
    <mergeCell ref="G7:H7"/>
    <mergeCell ref="G11:H11"/>
    <mergeCell ref="G10:H10"/>
    <mergeCell ref="G9:H9"/>
    <mergeCell ref="G8:H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selection activeCell="D2" sqref="D2:D3"/>
    </sheetView>
  </sheetViews>
  <sheetFormatPr baseColWidth="10" defaultRowHeight="15" x14ac:dyDescent="0.25"/>
  <cols>
    <col min="1" max="1" width="5.28515625" customWidth="1"/>
    <col min="2" max="2" width="12.140625" customWidth="1"/>
    <col min="3" max="3" width="15.85546875" customWidth="1"/>
    <col min="6" max="6" width="11.85546875" bestFit="1" customWidth="1"/>
    <col min="7" max="7" width="15.7109375" customWidth="1"/>
    <col min="10" max="10" width="9.28515625" customWidth="1"/>
    <col min="11" max="11" width="8.7109375" customWidth="1"/>
    <col min="12" max="12" width="20" customWidth="1"/>
    <col min="14" max="14" width="18.140625" customWidth="1"/>
  </cols>
  <sheetData>
    <row r="1" spans="1:14" ht="31.5" customHeight="1" x14ac:dyDescent="0.25">
      <c r="A1" s="2" t="s">
        <v>0</v>
      </c>
      <c r="B1" s="3" t="s">
        <v>36</v>
      </c>
      <c r="C1" s="3" t="s">
        <v>35</v>
      </c>
      <c r="E1" s="30" t="s">
        <v>14</v>
      </c>
      <c r="F1" s="30" t="s">
        <v>34</v>
      </c>
      <c r="G1" s="4" t="s">
        <v>37</v>
      </c>
    </row>
    <row r="2" spans="1:14" x14ac:dyDescent="0.25">
      <c r="A2" s="7">
        <v>1</v>
      </c>
      <c r="B2">
        <v>8.5</v>
      </c>
      <c r="C2">
        <v>12.8</v>
      </c>
      <c r="D2" s="5" t="s">
        <v>11</v>
      </c>
      <c r="E2">
        <f>AVERAGE(B2:B31)</f>
        <v>33.310000000000009</v>
      </c>
      <c r="F2">
        <f>MEDIAN(B2:B31)</f>
        <v>26.35</v>
      </c>
      <c r="G2" s="29">
        <f>AVERAGE(C2:C25)</f>
        <v>30.970833333333335</v>
      </c>
    </row>
    <row r="3" spans="1:14" ht="15.75" thickBot="1" x14ac:dyDescent="0.3">
      <c r="A3" s="7">
        <v>2</v>
      </c>
      <c r="B3">
        <v>8.6</v>
      </c>
      <c r="C3">
        <v>13.9</v>
      </c>
      <c r="D3" s="5" t="s">
        <v>12</v>
      </c>
      <c r="E3">
        <f>SUM(B2:B31)/(COUNT(B2:B31))</f>
        <v>33.310000000000009</v>
      </c>
      <c r="F3">
        <f>SUM(B16:B17)/2</f>
        <v>26.35</v>
      </c>
      <c r="G3" s="29">
        <f>SUM(C2:C25)/(COUNT(C2:C25))</f>
        <v>30.970833333333335</v>
      </c>
    </row>
    <row r="4" spans="1:14" ht="15.75" thickBot="1" x14ac:dyDescent="0.3">
      <c r="A4" s="7">
        <v>3</v>
      </c>
      <c r="B4">
        <v>9.4</v>
      </c>
      <c r="C4">
        <v>14.5</v>
      </c>
      <c r="J4" s="44" t="s">
        <v>33</v>
      </c>
      <c r="K4" s="45"/>
      <c r="L4" s="45"/>
      <c r="M4" s="45"/>
      <c r="N4" s="46"/>
    </row>
    <row r="5" spans="1:14" x14ac:dyDescent="0.25">
      <c r="A5" s="7">
        <v>4</v>
      </c>
      <c r="B5">
        <v>12.8</v>
      </c>
      <c r="C5">
        <v>17.899999999999999</v>
      </c>
      <c r="J5" s="50" t="s">
        <v>29</v>
      </c>
      <c r="K5" s="51"/>
      <c r="L5" s="26" t="s">
        <v>30</v>
      </c>
      <c r="M5" s="27" t="s">
        <v>22</v>
      </c>
      <c r="N5" s="28" t="s">
        <v>31</v>
      </c>
    </row>
    <row r="6" spans="1:14" x14ac:dyDescent="0.25">
      <c r="A6" s="7">
        <v>5</v>
      </c>
      <c r="B6">
        <v>13.9</v>
      </c>
      <c r="C6">
        <v>19.2</v>
      </c>
      <c r="J6" s="18">
        <v>0</v>
      </c>
      <c r="K6" s="17">
        <v>9.9</v>
      </c>
      <c r="L6" s="17">
        <f>J6+((K6-J6)/2)</f>
        <v>4.95</v>
      </c>
      <c r="M6" s="17">
        <v>3</v>
      </c>
      <c r="N6" s="13">
        <f>M6/$A$31</f>
        <v>0.1</v>
      </c>
    </row>
    <row r="7" spans="1:14" x14ac:dyDescent="0.25">
      <c r="A7" s="7">
        <v>6</v>
      </c>
      <c r="B7">
        <v>14.5</v>
      </c>
      <c r="C7">
        <v>20.399999999999999</v>
      </c>
      <c r="J7" s="18">
        <v>10</v>
      </c>
      <c r="K7" s="17">
        <f>K6+10</f>
        <v>19.899999999999999</v>
      </c>
      <c r="L7" s="17">
        <f t="shared" ref="L7:L14" si="0">J7+((K7-J7)/2)</f>
        <v>14.95</v>
      </c>
      <c r="M7" s="17">
        <v>5</v>
      </c>
      <c r="N7" s="13">
        <f t="shared" ref="N7:N14" si="1">M7/$A$31</f>
        <v>0.16666666666666666</v>
      </c>
    </row>
    <row r="8" spans="1:14" x14ac:dyDescent="0.25">
      <c r="A8" s="7">
        <v>7</v>
      </c>
      <c r="B8">
        <v>17.899999999999999</v>
      </c>
      <c r="C8">
        <v>20.7</v>
      </c>
      <c r="J8" s="18">
        <f>J7+10</f>
        <v>20</v>
      </c>
      <c r="K8" s="17">
        <f t="shared" ref="K8:K13" si="2">K7+10</f>
        <v>29.9</v>
      </c>
      <c r="L8" s="17">
        <f t="shared" si="0"/>
        <v>24.95</v>
      </c>
      <c r="M8" s="17">
        <v>11</v>
      </c>
      <c r="N8" s="13">
        <f t="shared" si="1"/>
        <v>0.36666666666666664</v>
      </c>
    </row>
    <row r="9" spans="1:14" x14ac:dyDescent="0.25">
      <c r="A9" s="7">
        <v>8</v>
      </c>
      <c r="B9">
        <v>19.2</v>
      </c>
      <c r="C9">
        <v>21.5</v>
      </c>
      <c r="J9" s="18">
        <f t="shared" ref="J9:J14" si="3">J8+10</f>
        <v>30</v>
      </c>
      <c r="K9" s="17">
        <f t="shared" si="2"/>
        <v>39.9</v>
      </c>
      <c r="L9" s="17">
        <f t="shared" si="0"/>
        <v>34.950000000000003</v>
      </c>
      <c r="M9" s="17">
        <v>2</v>
      </c>
      <c r="N9" s="13">
        <f t="shared" si="1"/>
        <v>6.6666666666666666E-2</v>
      </c>
    </row>
    <row r="10" spans="1:14" x14ac:dyDescent="0.25">
      <c r="A10" s="7">
        <v>9</v>
      </c>
      <c r="B10">
        <v>20.399999999999999</v>
      </c>
      <c r="C10">
        <v>22.3</v>
      </c>
      <c r="J10" s="18">
        <f t="shared" si="3"/>
        <v>40</v>
      </c>
      <c r="K10" s="17">
        <f t="shared" si="2"/>
        <v>49.9</v>
      </c>
      <c r="L10" s="17">
        <f t="shared" si="0"/>
        <v>44.95</v>
      </c>
      <c r="M10" s="17">
        <v>1</v>
      </c>
      <c r="N10" s="13">
        <f t="shared" si="1"/>
        <v>3.3333333333333333E-2</v>
      </c>
    </row>
    <row r="11" spans="1:14" x14ac:dyDescent="0.25">
      <c r="A11" s="7">
        <v>10</v>
      </c>
      <c r="B11">
        <v>20.7</v>
      </c>
      <c r="C11">
        <v>24.1</v>
      </c>
      <c r="J11" s="18">
        <f t="shared" si="3"/>
        <v>50</v>
      </c>
      <c r="K11" s="17">
        <f t="shared" si="2"/>
        <v>59.9</v>
      </c>
      <c r="L11" s="17">
        <f t="shared" si="0"/>
        <v>54.95</v>
      </c>
      <c r="M11" s="17">
        <v>5</v>
      </c>
      <c r="N11" s="13">
        <f t="shared" si="1"/>
        <v>0.16666666666666666</v>
      </c>
    </row>
    <row r="12" spans="1:14" x14ac:dyDescent="0.25">
      <c r="A12" s="7">
        <v>11</v>
      </c>
      <c r="B12">
        <v>21.5</v>
      </c>
      <c r="C12">
        <v>25.1</v>
      </c>
      <c r="J12" s="18">
        <f t="shared" si="3"/>
        <v>60</v>
      </c>
      <c r="K12" s="17">
        <f t="shared" si="2"/>
        <v>69.900000000000006</v>
      </c>
      <c r="L12" s="17">
        <f t="shared" si="0"/>
        <v>64.95</v>
      </c>
      <c r="M12" s="17">
        <v>1</v>
      </c>
      <c r="N12" s="13">
        <f t="shared" si="1"/>
        <v>3.3333333333333333E-2</v>
      </c>
    </row>
    <row r="13" spans="1:14" x14ac:dyDescent="0.25">
      <c r="A13" s="7">
        <v>12</v>
      </c>
      <c r="B13">
        <v>22.3</v>
      </c>
      <c r="C13">
        <v>26.2</v>
      </c>
      <c r="J13" s="18">
        <f t="shared" si="3"/>
        <v>70</v>
      </c>
      <c r="K13" s="17">
        <f t="shared" si="2"/>
        <v>79.900000000000006</v>
      </c>
      <c r="L13" s="17">
        <f t="shared" si="0"/>
        <v>74.95</v>
      </c>
      <c r="M13" s="17">
        <v>1</v>
      </c>
      <c r="N13" s="13">
        <f t="shared" si="1"/>
        <v>3.3333333333333333E-2</v>
      </c>
    </row>
    <row r="14" spans="1:14" ht="15.75" thickBot="1" x14ac:dyDescent="0.3">
      <c r="A14" s="7">
        <v>13</v>
      </c>
      <c r="B14">
        <v>24.1</v>
      </c>
      <c r="C14">
        <v>26.5</v>
      </c>
      <c r="J14" s="20">
        <f t="shared" si="3"/>
        <v>80</v>
      </c>
      <c r="K14" s="22">
        <f>K13+10</f>
        <v>89.9</v>
      </c>
      <c r="L14" s="22">
        <f t="shared" si="0"/>
        <v>84.95</v>
      </c>
      <c r="M14" s="22">
        <v>1</v>
      </c>
      <c r="N14" s="15">
        <f t="shared" si="1"/>
        <v>3.3333333333333333E-2</v>
      </c>
    </row>
    <row r="15" spans="1:14" x14ac:dyDescent="0.25">
      <c r="A15" s="7">
        <v>14</v>
      </c>
      <c r="B15">
        <v>25.1</v>
      </c>
      <c r="C15">
        <v>26.5</v>
      </c>
    </row>
    <row r="16" spans="1:14" x14ac:dyDescent="0.25">
      <c r="A16" s="7">
        <v>15</v>
      </c>
      <c r="B16">
        <v>26.2</v>
      </c>
      <c r="C16">
        <v>27.3</v>
      </c>
    </row>
    <row r="17" spans="1:3" x14ac:dyDescent="0.25">
      <c r="A17" s="7">
        <v>16</v>
      </c>
      <c r="B17">
        <v>26.5</v>
      </c>
      <c r="C17">
        <v>29.1</v>
      </c>
    </row>
    <row r="18" spans="1:3" x14ac:dyDescent="0.25">
      <c r="A18" s="7">
        <v>17</v>
      </c>
      <c r="B18">
        <v>26.5</v>
      </c>
      <c r="C18">
        <v>31.9</v>
      </c>
    </row>
    <row r="19" spans="1:3" x14ac:dyDescent="0.25">
      <c r="A19" s="7">
        <v>18</v>
      </c>
      <c r="B19">
        <v>27.3</v>
      </c>
      <c r="C19">
        <v>38.1</v>
      </c>
    </row>
    <row r="20" spans="1:3" x14ac:dyDescent="0.25">
      <c r="A20" s="7">
        <v>19</v>
      </c>
      <c r="B20">
        <v>29.1</v>
      </c>
      <c r="C20">
        <v>43.3</v>
      </c>
    </row>
    <row r="21" spans="1:3" x14ac:dyDescent="0.25">
      <c r="A21" s="7">
        <v>20</v>
      </c>
      <c r="B21">
        <v>31.9</v>
      </c>
      <c r="C21">
        <v>54.2</v>
      </c>
    </row>
    <row r="22" spans="1:3" x14ac:dyDescent="0.25">
      <c r="A22" s="7">
        <v>21</v>
      </c>
      <c r="B22">
        <v>38.1</v>
      </c>
      <c r="C22">
        <v>55.1</v>
      </c>
    </row>
    <row r="23" spans="1:3" x14ac:dyDescent="0.25">
      <c r="A23" s="7">
        <v>22</v>
      </c>
      <c r="B23">
        <v>43.3</v>
      </c>
      <c r="C23">
        <v>55.4</v>
      </c>
    </row>
    <row r="24" spans="1:3" x14ac:dyDescent="0.25">
      <c r="A24" s="7">
        <v>23</v>
      </c>
      <c r="B24">
        <v>54.2</v>
      </c>
      <c r="C24">
        <v>58.2</v>
      </c>
    </row>
    <row r="25" spans="1:3" x14ac:dyDescent="0.25">
      <c r="A25" s="7">
        <v>24</v>
      </c>
      <c r="B25">
        <v>55.1</v>
      </c>
      <c r="C25">
        <v>59.1</v>
      </c>
    </row>
    <row r="26" spans="1:3" x14ac:dyDescent="0.25">
      <c r="A26" s="7">
        <v>25</v>
      </c>
      <c r="B26">
        <v>55.4</v>
      </c>
    </row>
    <row r="27" spans="1:3" x14ac:dyDescent="0.25">
      <c r="A27" s="7">
        <v>26</v>
      </c>
      <c r="B27">
        <v>58.2</v>
      </c>
    </row>
    <row r="28" spans="1:3" x14ac:dyDescent="0.25">
      <c r="A28" s="7">
        <v>27</v>
      </c>
      <c r="B28">
        <v>59.1</v>
      </c>
    </row>
    <row r="29" spans="1:3" x14ac:dyDescent="0.25">
      <c r="A29" s="7">
        <v>28</v>
      </c>
      <c r="B29">
        <v>68.099999999999994</v>
      </c>
    </row>
    <row r="30" spans="1:3" x14ac:dyDescent="0.25">
      <c r="A30" s="7">
        <v>29</v>
      </c>
      <c r="B30">
        <v>72.2</v>
      </c>
    </row>
    <row r="31" spans="1:3" x14ac:dyDescent="0.25">
      <c r="A31" s="7">
        <v>30</v>
      </c>
      <c r="B31">
        <v>89.2</v>
      </c>
    </row>
  </sheetData>
  <sortState ref="B2:B31">
    <sortCondition ref="B2"/>
  </sortState>
  <mergeCells count="2">
    <mergeCell ref="J4:N4"/>
    <mergeCell ref="J5:K5"/>
  </mergeCells>
  <pageMargins left="0.7" right="0.7" top="0.75" bottom="0.75" header="0.3" footer="0.3"/>
  <ignoredErrors>
    <ignoredError sqref="F3"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H22" sqref="H22"/>
    </sheetView>
  </sheetViews>
  <sheetFormatPr baseColWidth="10" defaultRowHeight="15" x14ac:dyDescent="0.25"/>
  <cols>
    <col min="1" max="1" width="5.85546875" customWidth="1"/>
  </cols>
  <sheetData>
    <row r="1" spans="1:10" x14ac:dyDescent="0.25">
      <c r="A1" s="31" t="s">
        <v>0</v>
      </c>
      <c r="B1" s="31" t="s">
        <v>38</v>
      </c>
      <c r="C1" s="31" t="s">
        <v>39</v>
      </c>
      <c r="G1" s="52" t="s">
        <v>41</v>
      </c>
      <c r="H1" s="52"/>
      <c r="I1" s="52"/>
      <c r="J1" s="52"/>
    </row>
    <row r="2" spans="1:10" x14ac:dyDescent="0.25">
      <c r="A2" s="7">
        <v>1</v>
      </c>
      <c r="B2">
        <v>210</v>
      </c>
      <c r="C2">
        <v>700</v>
      </c>
      <c r="G2" s="32"/>
      <c r="H2" s="33">
        <v>700</v>
      </c>
      <c r="I2" s="33">
        <v>1000</v>
      </c>
      <c r="J2" s="33">
        <v>1300</v>
      </c>
    </row>
    <row r="3" spans="1:10" x14ac:dyDescent="0.25">
      <c r="A3" s="7">
        <v>2</v>
      </c>
      <c r="B3">
        <v>325</v>
      </c>
      <c r="C3">
        <v>1000</v>
      </c>
      <c r="G3" s="53" t="s">
        <v>38</v>
      </c>
      <c r="H3" s="34">
        <v>145</v>
      </c>
      <c r="I3" s="34">
        <v>250</v>
      </c>
      <c r="J3" s="34">
        <v>150</v>
      </c>
    </row>
    <row r="4" spans="1:10" x14ac:dyDescent="0.25">
      <c r="A4" s="7">
        <v>3</v>
      </c>
      <c r="B4">
        <v>375</v>
      </c>
      <c r="C4">
        <v>1300</v>
      </c>
      <c r="G4" s="53"/>
      <c r="H4" s="34">
        <v>105</v>
      </c>
      <c r="I4" s="34">
        <v>195</v>
      </c>
      <c r="J4" s="34">
        <v>180</v>
      </c>
    </row>
    <row r="5" spans="1:10" x14ac:dyDescent="0.25">
      <c r="G5" s="53"/>
      <c r="H5" s="34">
        <v>260</v>
      </c>
      <c r="I5" s="34">
        <v>375</v>
      </c>
      <c r="J5" s="34">
        <v>420</v>
      </c>
    </row>
    <row r="6" spans="1:10" x14ac:dyDescent="0.25">
      <c r="G6" s="53"/>
      <c r="H6" s="34">
        <v>330</v>
      </c>
      <c r="I6" s="34">
        <v>480</v>
      </c>
      <c r="J6" s="34">
        <v>750</v>
      </c>
    </row>
    <row r="7" spans="1:10" x14ac:dyDescent="0.25">
      <c r="G7" s="35" t="s">
        <v>40</v>
      </c>
      <c r="H7" s="36">
        <f>SUM(H3:H6)/4</f>
        <v>210</v>
      </c>
      <c r="I7" s="36">
        <f>SUM(I3:I6)/4</f>
        <v>325</v>
      </c>
      <c r="J7" s="36">
        <f>SUM(J3:J6)/4</f>
        <v>375</v>
      </c>
    </row>
  </sheetData>
  <mergeCells count="2">
    <mergeCell ref="G1:J1"/>
    <mergeCell ref="G3:G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D1" activeCellId="1" sqref="B1:B11 D1:D11"/>
    </sheetView>
  </sheetViews>
  <sheetFormatPr baseColWidth="10" defaultRowHeight="15" x14ac:dyDescent="0.25"/>
  <cols>
    <col min="1" max="1" width="5.28515625" customWidth="1"/>
  </cols>
  <sheetData>
    <row r="1" spans="1:5" ht="30" x14ac:dyDescent="0.25">
      <c r="A1" s="57" t="s">
        <v>0</v>
      </c>
      <c r="B1" s="3" t="s">
        <v>42</v>
      </c>
      <c r="C1" s="58"/>
      <c r="D1" s="3" t="s">
        <v>43</v>
      </c>
      <c r="E1" s="58"/>
    </row>
    <row r="2" spans="1:5" x14ac:dyDescent="0.25">
      <c r="A2">
        <v>1</v>
      </c>
      <c r="B2">
        <v>72.680000000000007</v>
      </c>
      <c r="C2">
        <f>COUNTIF($B$2:B2,B2)</f>
        <v>1</v>
      </c>
      <c r="D2">
        <v>71.62</v>
      </c>
      <c r="E2">
        <f>COUNTIF($D$2:D2,D2)</f>
        <v>1</v>
      </c>
    </row>
    <row r="3" spans="1:5" x14ac:dyDescent="0.25">
      <c r="A3">
        <v>2</v>
      </c>
      <c r="B3">
        <v>72.62</v>
      </c>
      <c r="C3">
        <f>COUNTIF($B$2:B3,B3)</f>
        <v>1</v>
      </c>
      <c r="D3">
        <v>71.680000000000007</v>
      </c>
      <c r="E3">
        <f>COUNTIF($D$2:D3,D3)</f>
        <v>1</v>
      </c>
    </row>
    <row r="4" spans="1:5" x14ac:dyDescent="0.25">
      <c r="A4">
        <v>3</v>
      </c>
      <c r="B4">
        <v>72.58</v>
      </c>
      <c r="C4">
        <f>COUNTIF($B$2:B4,B4)</f>
        <v>1</v>
      </c>
      <c r="D4">
        <v>71.739999999999995</v>
      </c>
      <c r="E4">
        <f>COUNTIF($D$2:D4,D4)</f>
        <v>1</v>
      </c>
    </row>
    <row r="5" spans="1:5" x14ac:dyDescent="0.25">
      <c r="A5">
        <v>4</v>
      </c>
      <c r="B5">
        <v>72.48</v>
      </c>
      <c r="C5">
        <f>COUNTIF($B$2:B5,B5)</f>
        <v>1</v>
      </c>
      <c r="D5">
        <v>71.48</v>
      </c>
      <c r="E5">
        <f>COUNTIF($D$2:D5,D5)</f>
        <v>1</v>
      </c>
    </row>
    <row r="6" spans="1:5" x14ac:dyDescent="0.25">
      <c r="A6">
        <v>5</v>
      </c>
      <c r="B6">
        <v>73.069999999999993</v>
      </c>
      <c r="C6">
        <f>COUNTIF($B$2:B6,B6)</f>
        <v>1</v>
      </c>
      <c r="D6">
        <v>71.55</v>
      </c>
      <c r="E6">
        <f>COUNTIF($D$2:D6,D6)</f>
        <v>1</v>
      </c>
    </row>
    <row r="7" spans="1:5" x14ac:dyDescent="0.25">
      <c r="A7">
        <v>6</v>
      </c>
      <c r="B7">
        <v>72.55</v>
      </c>
      <c r="C7">
        <f>COUNTIF($B$2:B7,B7)</f>
        <v>1</v>
      </c>
      <c r="D7">
        <v>71.52</v>
      </c>
      <c r="E7">
        <f>COUNTIF($D$2:D7,D7)</f>
        <v>1</v>
      </c>
    </row>
    <row r="8" spans="1:5" x14ac:dyDescent="0.25">
      <c r="A8">
        <v>7</v>
      </c>
      <c r="B8">
        <v>72.42</v>
      </c>
      <c r="C8">
        <f>COUNTIF($B$2:B8,B8)</f>
        <v>1</v>
      </c>
      <c r="D8">
        <v>71.709999999999994</v>
      </c>
      <c r="E8">
        <f>COUNTIF($D$2:D8,D8)</f>
        <v>1</v>
      </c>
    </row>
    <row r="9" spans="1:5" x14ac:dyDescent="0.25">
      <c r="A9">
        <v>8</v>
      </c>
      <c r="B9">
        <v>72.84</v>
      </c>
      <c r="C9">
        <f>COUNTIF($B$2:B9,B9)</f>
        <v>1</v>
      </c>
      <c r="D9">
        <v>71.56</v>
      </c>
      <c r="E9">
        <f>COUNTIF($D$2:D9,D9)</f>
        <v>1</v>
      </c>
    </row>
    <row r="10" spans="1:5" x14ac:dyDescent="0.25">
      <c r="A10">
        <v>9</v>
      </c>
      <c r="B10">
        <v>72.58</v>
      </c>
      <c r="C10">
        <f>COUNTIF($B$2:B10,B10)</f>
        <v>2</v>
      </c>
      <c r="D10">
        <v>71.7</v>
      </c>
      <c r="E10">
        <f>COUNTIF($D$2:D10,D10)</f>
        <v>1</v>
      </c>
    </row>
    <row r="11" spans="1:5" x14ac:dyDescent="0.25">
      <c r="A11">
        <v>10</v>
      </c>
      <c r="B11">
        <v>72.92</v>
      </c>
      <c r="C11">
        <f>COUNTIF($B$2:B11,B11)</f>
        <v>1</v>
      </c>
      <c r="D11">
        <v>71.5</v>
      </c>
      <c r="E11">
        <f>COUNTIF($D$2:D11,D11)</f>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election activeCell="H22" sqref="H22"/>
    </sheetView>
  </sheetViews>
  <sheetFormatPr baseColWidth="10" defaultRowHeight="15" x14ac:dyDescent="0.25"/>
  <cols>
    <col min="1" max="1" width="5" customWidth="1"/>
    <col min="2" max="2" width="17" customWidth="1"/>
  </cols>
  <sheetData>
    <row r="1" spans="1:3" x14ac:dyDescent="0.25">
      <c r="A1" s="58" t="s">
        <v>0</v>
      </c>
      <c r="B1" s="58" t="s">
        <v>44</v>
      </c>
      <c r="C1" s="58"/>
    </row>
    <row r="2" spans="1:3" x14ac:dyDescent="0.25">
      <c r="A2">
        <v>1</v>
      </c>
      <c r="B2">
        <v>919</v>
      </c>
      <c r="C2">
        <f>COUNTIF($B$2:B2,B2)</f>
        <v>1</v>
      </c>
    </row>
    <row r="3" spans="1:3" x14ac:dyDescent="0.25">
      <c r="A3">
        <v>2</v>
      </c>
      <c r="B3">
        <v>1196</v>
      </c>
      <c r="C3">
        <f>COUNTIF($B$2:B3,B3)</f>
        <v>1</v>
      </c>
    </row>
    <row r="4" spans="1:3" x14ac:dyDescent="0.25">
      <c r="A4">
        <v>3</v>
      </c>
      <c r="B4">
        <v>785</v>
      </c>
      <c r="C4">
        <f>COUNTIF($B$2:B4,B4)</f>
        <v>1</v>
      </c>
    </row>
    <row r="5" spans="1:3" x14ac:dyDescent="0.25">
      <c r="A5">
        <v>4</v>
      </c>
      <c r="B5">
        <v>1126</v>
      </c>
      <c r="C5">
        <f>COUNTIF($B$2:B5,B5)</f>
        <v>1</v>
      </c>
    </row>
    <row r="6" spans="1:3" x14ac:dyDescent="0.25">
      <c r="A6">
        <v>5</v>
      </c>
      <c r="B6">
        <v>936</v>
      </c>
      <c r="C6">
        <f>COUNTIF($B$2:B6,B6)</f>
        <v>1</v>
      </c>
    </row>
    <row r="7" spans="1:3" x14ac:dyDescent="0.25">
      <c r="A7">
        <v>6</v>
      </c>
      <c r="B7">
        <v>918</v>
      </c>
      <c r="C7">
        <f>COUNTIF($B$2:B7,B7)</f>
        <v>1</v>
      </c>
    </row>
    <row r="8" spans="1:3" x14ac:dyDescent="0.25">
      <c r="A8">
        <v>7</v>
      </c>
      <c r="B8">
        <v>1156</v>
      </c>
      <c r="C8">
        <f>COUNTIF($B$2:B8,B8)</f>
        <v>1</v>
      </c>
    </row>
    <row r="9" spans="1:3" x14ac:dyDescent="0.25">
      <c r="A9">
        <v>8</v>
      </c>
      <c r="B9">
        <v>920</v>
      </c>
      <c r="C9">
        <f>COUNTIF($B$2:B9,B9)</f>
        <v>1</v>
      </c>
    </row>
    <row r="10" spans="1:3" x14ac:dyDescent="0.25">
      <c r="A10">
        <v>9</v>
      </c>
      <c r="B10">
        <v>948</v>
      </c>
      <c r="C10">
        <f>COUNTIF($B$2:B10,B10)</f>
        <v>1</v>
      </c>
    </row>
    <row r="11" spans="1:3" x14ac:dyDescent="0.25">
      <c r="A11">
        <v>10</v>
      </c>
      <c r="B11">
        <v>1067</v>
      </c>
      <c r="C11">
        <f>COUNTIF($B$2:B11,B11)</f>
        <v>1</v>
      </c>
    </row>
    <row r="12" spans="1:3" x14ac:dyDescent="0.25">
      <c r="A12">
        <v>11</v>
      </c>
      <c r="B12">
        <v>1092</v>
      </c>
      <c r="C12">
        <f>COUNTIF($B$2:B12,B12)</f>
        <v>1</v>
      </c>
    </row>
    <row r="13" spans="1:3" x14ac:dyDescent="0.25">
      <c r="A13">
        <v>12</v>
      </c>
      <c r="B13">
        <v>1162</v>
      </c>
      <c r="C13">
        <f>COUNTIF($B$2:B13,B13)</f>
        <v>1</v>
      </c>
    </row>
    <row r="14" spans="1:3" x14ac:dyDescent="0.25">
      <c r="A14">
        <v>13</v>
      </c>
      <c r="B14">
        <v>1170</v>
      </c>
      <c r="C14">
        <f>COUNTIF($B$2:B14,B14)</f>
        <v>1</v>
      </c>
    </row>
    <row r="15" spans="1:3" x14ac:dyDescent="0.25">
      <c r="A15">
        <v>14</v>
      </c>
      <c r="B15">
        <v>929</v>
      </c>
      <c r="C15">
        <f>COUNTIF($B$2:B15,B15)</f>
        <v>1</v>
      </c>
    </row>
    <row r="16" spans="1:3" x14ac:dyDescent="0.25">
      <c r="A16">
        <v>15</v>
      </c>
      <c r="B16">
        <v>950</v>
      </c>
      <c r="C16">
        <f>COUNTIF($B$2:B16,B16)</f>
        <v>1</v>
      </c>
    </row>
    <row r="17" spans="1:3" x14ac:dyDescent="0.25">
      <c r="A17">
        <v>16</v>
      </c>
      <c r="B17">
        <v>905</v>
      </c>
      <c r="C17">
        <f>COUNTIF($B$2:B17,B17)</f>
        <v>1</v>
      </c>
    </row>
    <row r="18" spans="1:3" x14ac:dyDescent="0.25">
      <c r="A18">
        <v>17</v>
      </c>
      <c r="B18">
        <v>972</v>
      </c>
      <c r="C18">
        <f>COUNTIF($B$2:B18,B18)</f>
        <v>1</v>
      </c>
    </row>
    <row r="19" spans="1:3" x14ac:dyDescent="0.25">
      <c r="A19">
        <v>18</v>
      </c>
      <c r="B19">
        <v>1035</v>
      </c>
      <c r="C19">
        <f>COUNTIF($B$2:B19,B19)</f>
        <v>1</v>
      </c>
    </row>
    <row r="20" spans="1:3" x14ac:dyDescent="0.25">
      <c r="A20">
        <v>19</v>
      </c>
      <c r="B20">
        <v>1045</v>
      </c>
      <c r="C20">
        <f>COUNTIF($B$2:B20,B20)</f>
        <v>1</v>
      </c>
    </row>
    <row r="21" spans="1:3" x14ac:dyDescent="0.25">
      <c r="A21">
        <v>20</v>
      </c>
      <c r="B21">
        <v>855</v>
      </c>
      <c r="C21">
        <f>COUNTIF($B$2:B21,B21)</f>
        <v>1</v>
      </c>
    </row>
    <row r="22" spans="1:3" x14ac:dyDescent="0.25">
      <c r="A22">
        <v>21</v>
      </c>
      <c r="B22">
        <v>1195</v>
      </c>
      <c r="C22">
        <f>COUNTIF($B$2:B22,B22)</f>
        <v>1</v>
      </c>
    </row>
    <row r="23" spans="1:3" x14ac:dyDescent="0.25">
      <c r="A23">
        <v>22</v>
      </c>
      <c r="B23">
        <v>1195</v>
      </c>
      <c r="C23">
        <f>COUNTIF($B$2:B23,B23)</f>
        <v>2</v>
      </c>
    </row>
    <row r="24" spans="1:3" x14ac:dyDescent="0.25">
      <c r="A24">
        <v>23</v>
      </c>
      <c r="B24">
        <v>1340</v>
      </c>
      <c r="C24">
        <f>COUNTIF($B$2:B24,B24)</f>
        <v>1</v>
      </c>
    </row>
    <row r="25" spans="1:3" x14ac:dyDescent="0.25">
      <c r="A25">
        <v>24</v>
      </c>
      <c r="B25">
        <v>1122</v>
      </c>
      <c r="C25">
        <f>COUNTIF($B$2:B25,B25)</f>
        <v>1</v>
      </c>
    </row>
    <row r="26" spans="1:3" x14ac:dyDescent="0.25">
      <c r="A26">
        <v>25</v>
      </c>
      <c r="B26">
        <v>938</v>
      </c>
      <c r="C26">
        <f>COUNTIF($B$2:B26,B26)</f>
        <v>1</v>
      </c>
    </row>
    <row r="27" spans="1:3" x14ac:dyDescent="0.25">
      <c r="A27">
        <v>26</v>
      </c>
      <c r="B27">
        <v>970</v>
      </c>
      <c r="C27">
        <f>COUNTIF($B$2:B27,B27)</f>
        <v>1</v>
      </c>
    </row>
    <row r="28" spans="1:3" x14ac:dyDescent="0.25">
      <c r="A28">
        <v>27</v>
      </c>
      <c r="B28">
        <v>1237</v>
      </c>
      <c r="C28">
        <f>COUNTIF($B$2:B28,B28)</f>
        <v>1</v>
      </c>
    </row>
    <row r="29" spans="1:3" x14ac:dyDescent="0.25">
      <c r="A29">
        <v>28</v>
      </c>
      <c r="B29">
        <v>956</v>
      </c>
      <c r="C29">
        <f>COUNTIF($B$2:B29,B29)</f>
        <v>1</v>
      </c>
    </row>
    <row r="30" spans="1:3" x14ac:dyDescent="0.25">
      <c r="A30">
        <v>29</v>
      </c>
      <c r="B30">
        <v>1102</v>
      </c>
      <c r="C30">
        <f>COUNTIF($B$2:B30,B30)</f>
        <v>1</v>
      </c>
    </row>
    <row r="31" spans="1:3" x14ac:dyDescent="0.25">
      <c r="A31">
        <v>30</v>
      </c>
      <c r="B31">
        <v>1157</v>
      </c>
      <c r="C31">
        <f>COUNTIF($B$2:B31,B31)</f>
        <v>1</v>
      </c>
    </row>
    <row r="32" spans="1:3" x14ac:dyDescent="0.25">
      <c r="A32">
        <v>31</v>
      </c>
      <c r="B32">
        <v>978</v>
      </c>
      <c r="C32">
        <f>COUNTIF($B$2:B32,B32)</f>
        <v>1</v>
      </c>
    </row>
    <row r="33" spans="1:3" x14ac:dyDescent="0.25">
      <c r="A33">
        <v>32</v>
      </c>
      <c r="B33">
        <v>832</v>
      </c>
      <c r="C33">
        <f>COUNTIF($B$2:B33,B33)</f>
        <v>1</v>
      </c>
    </row>
    <row r="34" spans="1:3" x14ac:dyDescent="0.25">
      <c r="A34">
        <v>33</v>
      </c>
      <c r="B34">
        <v>1009</v>
      </c>
      <c r="C34">
        <f>COUNTIF($B$2:B34,B34)</f>
        <v>1</v>
      </c>
    </row>
    <row r="35" spans="1:3" x14ac:dyDescent="0.25">
      <c r="A35">
        <v>34</v>
      </c>
      <c r="B35">
        <v>1157</v>
      </c>
      <c r="C35">
        <f>COUNTIF($B$2:B35,B35)</f>
        <v>2</v>
      </c>
    </row>
    <row r="36" spans="1:3" x14ac:dyDescent="0.25">
      <c r="A36">
        <v>35</v>
      </c>
      <c r="B36">
        <v>1151</v>
      </c>
      <c r="C36">
        <f>COUNTIF($B$2:B36,B36)</f>
        <v>1</v>
      </c>
    </row>
    <row r="37" spans="1:3" x14ac:dyDescent="0.25">
      <c r="A37">
        <v>36</v>
      </c>
      <c r="B37">
        <v>1009</v>
      </c>
      <c r="C37">
        <f>COUNTIF($B$2:B37,B37)</f>
        <v>2</v>
      </c>
    </row>
    <row r="38" spans="1:3" x14ac:dyDescent="0.25">
      <c r="A38">
        <v>37</v>
      </c>
      <c r="B38">
        <v>765</v>
      </c>
      <c r="C38">
        <f>COUNTIF($B$2:B38,B38)</f>
        <v>1</v>
      </c>
    </row>
    <row r="39" spans="1:3" x14ac:dyDescent="0.25">
      <c r="A39">
        <v>38</v>
      </c>
      <c r="B39">
        <v>958</v>
      </c>
      <c r="C39">
        <f>COUNTIF($B$2:B39,B39)</f>
        <v>1</v>
      </c>
    </row>
    <row r="40" spans="1:3" x14ac:dyDescent="0.25">
      <c r="A40">
        <v>39</v>
      </c>
      <c r="B40">
        <v>902</v>
      </c>
      <c r="C40">
        <f>COUNTIF($B$2:B40,B40)</f>
        <v>1</v>
      </c>
    </row>
    <row r="41" spans="1:3" x14ac:dyDescent="0.25">
      <c r="A41">
        <v>40</v>
      </c>
      <c r="B41">
        <v>1022</v>
      </c>
      <c r="C41">
        <f>COUNTIF($B$2:B41,B41)</f>
        <v>1</v>
      </c>
    </row>
    <row r="42" spans="1:3" x14ac:dyDescent="0.25">
      <c r="A42">
        <v>41</v>
      </c>
      <c r="B42">
        <v>1333</v>
      </c>
      <c r="C42">
        <f>COUNTIF($B$2:B42,B42)</f>
        <v>1</v>
      </c>
    </row>
    <row r="43" spans="1:3" x14ac:dyDescent="0.25">
      <c r="A43">
        <v>42</v>
      </c>
      <c r="B43">
        <v>811</v>
      </c>
      <c r="C43">
        <f>COUNTIF($B$2:B43,B43)</f>
        <v>1</v>
      </c>
    </row>
    <row r="44" spans="1:3" x14ac:dyDescent="0.25">
      <c r="A44">
        <v>43</v>
      </c>
      <c r="B44">
        <v>1217</v>
      </c>
      <c r="C44">
        <f>COUNTIF($B$2:B44,B44)</f>
        <v>1</v>
      </c>
    </row>
    <row r="45" spans="1:3" x14ac:dyDescent="0.25">
      <c r="A45">
        <v>44</v>
      </c>
      <c r="B45">
        <v>1085</v>
      </c>
      <c r="C45">
        <f>COUNTIF($B$2:B45,B45)</f>
        <v>1</v>
      </c>
    </row>
    <row r="46" spans="1:3" x14ac:dyDescent="0.25">
      <c r="A46">
        <v>45</v>
      </c>
      <c r="B46">
        <v>896</v>
      </c>
      <c r="C46">
        <f>COUNTIF($B$2:B46,B46)</f>
        <v>1</v>
      </c>
    </row>
    <row r="47" spans="1:3" x14ac:dyDescent="0.25">
      <c r="A47">
        <v>46</v>
      </c>
      <c r="B47">
        <v>958</v>
      </c>
      <c r="C47">
        <f>COUNTIF($B$2:B47,B47)</f>
        <v>2</v>
      </c>
    </row>
    <row r="48" spans="1:3" x14ac:dyDescent="0.25">
      <c r="A48">
        <v>47</v>
      </c>
      <c r="B48">
        <v>1311</v>
      </c>
      <c r="C48">
        <f>COUNTIF($B$2:B48,B48)</f>
        <v>1</v>
      </c>
    </row>
    <row r="49" spans="1:3" x14ac:dyDescent="0.25">
      <c r="A49">
        <v>48</v>
      </c>
      <c r="B49">
        <v>1037</v>
      </c>
      <c r="C49">
        <f>COUNTIF($B$2:B49,B49)</f>
        <v>1</v>
      </c>
    </row>
    <row r="50" spans="1:3" x14ac:dyDescent="0.25">
      <c r="A50">
        <v>49</v>
      </c>
      <c r="B50">
        <v>702</v>
      </c>
      <c r="C50">
        <f>COUNTIF($B$2:B50,B50)</f>
        <v>1</v>
      </c>
    </row>
    <row r="51" spans="1:3" x14ac:dyDescent="0.25">
      <c r="A51">
        <v>50</v>
      </c>
      <c r="B51">
        <v>923</v>
      </c>
      <c r="C51">
        <f>COUNTIF($B$2:B51,B51)</f>
        <v>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selection activeCell="O7" sqref="O7"/>
    </sheetView>
  </sheetViews>
  <sheetFormatPr baseColWidth="10" defaultRowHeight="15" x14ac:dyDescent="0.25"/>
  <cols>
    <col min="1" max="1" width="5.42578125" customWidth="1"/>
    <col min="4" max="4" width="15" customWidth="1"/>
    <col min="9" max="9" width="11.85546875" bestFit="1" customWidth="1"/>
  </cols>
  <sheetData>
    <row r="1" spans="1:12" ht="45" x14ac:dyDescent="0.25">
      <c r="A1" s="3" t="s">
        <v>0</v>
      </c>
      <c r="B1" s="3" t="s">
        <v>42</v>
      </c>
      <c r="C1" s="3"/>
      <c r="D1" s="3" t="s">
        <v>16</v>
      </c>
      <c r="E1" s="3" t="s">
        <v>43</v>
      </c>
      <c r="F1" s="3"/>
      <c r="G1" s="3" t="s">
        <v>16</v>
      </c>
      <c r="I1" s="3" t="s">
        <v>45</v>
      </c>
      <c r="J1" s="3" t="s">
        <v>46</v>
      </c>
      <c r="K1" s="3" t="s">
        <v>47</v>
      </c>
      <c r="L1" s="3" t="s">
        <v>48</v>
      </c>
    </row>
    <row r="2" spans="1:12" x14ac:dyDescent="0.25">
      <c r="A2" s="60">
        <v>1</v>
      </c>
      <c r="B2" s="54">
        <v>76.2</v>
      </c>
      <c r="C2" s="60">
        <f>COUNTIF($B$2:B2,B2)</f>
        <v>1</v>
      </c>
      <c r="D2" s="60">
        <f>(B2-$I$3)^2</f>
        <v>1.2099999999999875E-2</v>
      </c>
      <c r="E2" s="55">
        <v>93.25</v>
      </c>
      <c r="F2" s="60">
        <f>COUNTIF($E$2:E2,E2)</f>
        <v>1</v>
      </c>
      <c r="G2" s="60">
        <f>(E2-$J$3)^2</f>
        <v>6.7239999999989556E-3</v>
      </c>
      <c r="H2" s="5" t="s">
        <v>11</v>
      </c>
      <c r="I2" s="59">
        <f>AVERAGE(B2:B11)</f>
        <v>76.09</v>
      </c>
      <c r="J2" s="56">
        <f>AVERAGE(E2:E11)</f>
        <v>93.168000000000006</v>
      </c>
      <c r="K2" s="60">
        <f>_xlfn.STDEV.S(B2:B11)</f>
        <v>0.1350719972623681</v>
      </c>
      <c r="L2" s="60">
        <f>_xlfn.STDEV.S(E2:E11)</f>
        <v>0.62668085090330239</v>
      </c>
    </row>
    <row r="3" spans="1:12" x14ac:dyDescent="0.25">
      <c r="A3" s="60">
        <v>2</v>
      </c>
      <c r="B3" s="54">
        <v>76.09</v>
      </c>
      <c r="C3" s="60">
        <f>COUNTIF($B$2:B3,B3)</f>
        <v>1</v>
      </c>
      <c r="D3" s="60">
        <f t="shared" ref="D3:D11" si="0">(B3-$I$3)^2</f>
        <v>0</v>
      </c>
      <c r="E3" s="55">
        <v>93.19</v>
      </c>
      <c r="F3" s="60">
        <f>COUNTIF($E$2:E3,E3)</f>
        <v>1</v>
      </c>
      <c r="G3" s="60">
        <f t="shared" ref="G3:G11" si="1">(E3-$J$3)^2</f>
        <v>4.8399999999961983E-4</v>
      </c>
      <c r="H3" s="5" t="s">
        <v>12</v>
      </c>
      <c r="I3" s="59">
        <f>SUM(B2:B11)/COUNT(B2:B11)</f>
        <v>76.09</v>
      </c>
      <c r="J3" s="56">
        <f>SUM(E2:E11)/COUNT(E2:E11)</f>
        <v>93.168000000000006</v>
      </c>
      <c r="K3" s="60">
        <f>SQRT(SUM((D2:D11))/(A11-1))</f>
        <v>0.1350719972623681</v>
      </c>
      <c r="L3" s="60">
        <f>SQRT(SUM((G2:G11))/(A11-1))</f>
        <v>0.62668085090330239</v>
      </c>
    </row>
    <row r="4" spans="1:12" x14ac:dyDescent="0.25">
      <c r="A4" s="60">
        <v>3</v>
      </c>
      <c r="B4" s="54">
        <v>75.98</v>
      </c>
      <c r="C4" s="60">
        <f>COUNTIF($B$2:B4,B4)</f>
        <v>1</v>
      </c>
      <c r="D4" s="60">
        <f t="shared" si="0"/>
        <v>1.2099999999999875E-2</v>
      </c>
      <c r="E4" s="55">
        <v>92.87</v>
      </c>
      <c r="F4" s="60">
        <f>COUNTIF($E$2:E4,E4)</f>
        <v>1</v>
      </c>
      <c r="G4" s="60">
        <f t="shared" si="1"/>
        <v>8.880400000000109E-2</v>
      </c>
    </row>
    <row r="5" spans="1:12" x14ac:dyDescent="0.25">
      <c r="A5" s="60">
        <v>4</v>
      </c>
      <c r="B5" s="54">
        <v>76.150000000000006</v>
      </c>
      <c r="C5" s="60">
        <f>COUNTIF($B$2:B5,B5)</f>
        <v>1</v>
      </c>
      <c r="D5" s="60">
        <f t="shared" si="0"/>
        <v>3.6000000000002727E-3</v>
      </c>
      <c r="E5" s="55">
        <v>93.29</v>
      </c>
      <c r="F5" s="60">
        <f>COUNTIF($E$2:E5,E5)</f>
        <v>1</v>
      </c>
      <c r="G5" s="60">
        <f t="shared" si="1"/>
        <v>1.4883999999999972E-2</v>
      </c>
    </row>
    <row r="6" spans="1:12" x14ac:dyDescent="0.25">
      <c r="A6" s="60">
        <v>5</v>
      </c>
      <c r="B6" s="54">
        <v>76.17</v>
      </c>
      <c r="C6" s="60">
        <f>COUNTIF($B$2:B6,B6)</f>
        <v>1</v>
      </c>
      <c r="D6" s="60">
        <f t="shared" si="0"/>
        <v>6.3999999999997271E-3</v>
      </c>
      <c r="E6" s="55">
        <v>93.37</v>
      </c>
      <c r="F6" s="60">
        <f>COUNTIF($E$2:E6,E6)</f>
        <v>1</v>
      </c>
      <c r="G6" s="60">
        <f t="shared" si="1"/>
        <v>4.0803999999999264E-2</v>
      </c>
    </row>
    <row r="7" spans="1:12" x14ac:dyDescent="0.25">
      <c r="A7" s="60">
        <v>6</v>
      </c>
      <c r="B7" s="54">
        <v>75.94</v>
      </c>
      <c r="C7" s="60">
        <f>COUNTIF($B$2:B7,B7)</f>
        <v>1</v>
      </c>
      <c r="D7" s="60">
        <f t="shared" si="0"/>
        <v>2.2500000000001706E-2</v>
      </c>
      <c r="E7" s="55">
        <v>92.98</v>
      </c>
      <c r="F7" s="60">
        <f>COUNTIF($E$2:E7,E7)</f>
        <v>1</v>
      </c>
      <c r="G7" s="60">
        <f t="shared" si="1"/>
        <v>3.5344000000000896E-2</v>
      </c>
    </row>
    <row r="8" spans="1:12" x14ac:dyDescent="0.25">
      <c r="A8" s="60">
        <v>7</v>
      </c>
      <c r="B8" s="54">
        <v>76.12</v>
      </c>
      <c r="C8" s="60">
        <f>COUNTIF($B$2:B8,B8)</f>
        <v>1</v>
      </c>
      <c r="D8" s="60">
        <f t="shared" si="0"/>
        <v>9.0000000000006817E-4</v>
      </c>
      <c r="E8" s="55">
        <v>93.47</v>
      </c>
      <c r="F8" s="60">
        <f>COUNTIF($E$2:E8,E8)</f>
        <v>1</v>
      </c>
      <c r="G8" s="60">
        <f t="shared" si="1"/>
        <v>9.1203999999995469E-2</v>
      </c>
    </row>
    <row r="9" spans="1:12" x14ac:dyDescent="0.25">
      <c r="A9" s="60">
        <v>8</v>
      </c>
      <c r="B9" s="54">
        <v>76.180000000000007</v>
      </c>
      <c r="C9" s="60">
        <f>COUNTIF($B$2:B9,B9)</f>
        <v>1</v>
      </c>
      <c r="D9" s="60">
        <f t="shared" si="0"/>
        <v>8.1000000000006137E-3</v>
      </c>
      <c r="E9" s="55">
        <v>93.75</v>
      </c>
      <c r="F9" s="60">
        <f>COUNTIF($E$2:E9,E9)</f>
        <v>1</v>
      </c>
      <c r="G9" s="60">
        <f t="shared" si="1"/>
        <v>0.33872399999999259</v>
      </c>
    </row>
    <row r="10" spans="1:12" x14ac:dyDescent="0.25">
      <c r="A10" s="60">
        <v>9</v>
      </c>
      <c r="B10" s="54">
        <v>76.25</v>
      </c>
      <c r="C10" s="60">
        <f>COUNTIF($B$2:B10,B10)</f>
        <v>1</v>
      </c>
      <c r="D10" s="60">
        <f t="shared" si="0"/>
        <v>2.5599999999998908E-2</v>
      </c>
      <c r="E10" s="55">
        <v>93.89</v>
      </c>
      <c r="F10" s="60">
        <f>COUNTIF($E$2:E10,E10)</f>
        <v>1</v>
      </c>
      <c r="G10" s="60">
        <f t="shared" si="1"/>
        <v>0.52128399999999164</v>
      </c>
    </row>
    <row r="11" spans="1:12" x14ac:dyDescent="0.25">
      <c r="A11" s="60">
        <v>10</v>
      </c>
      <c r="B11" s="54">
        <v>75.819999999999993</v>
      </c>
      <c r="C11" s="60">
        <f>COUNTIF($B$2:B11,B11)</f>
        <v>1</v>
      </c>
      <c r="D11" s="60">
        <f t="shared" si="0"/>
        <v>7.290000000000553E-2</v>
      </c>
      <c r="E11" s="55">
        <v>91.62</v>
      </c>
      <c r="F11" s="60">
        <f>COUNTIF($E$2:E11,E11)</f>
        <v>1</v>
      </c>
      <c r="G11" s="60">
        <f t="shared" si="1"/>
        <v>2.3963040000000055</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R23" sqref="R23"/>
    </sheetView>
  </sheetViews>
  <sheetFormatPr baseColWidth="10" defaultRowHeight="15" x14ac:dyDescent="0.25"/>
  <cols>
    <col min="1" max="1" width="5.42578125" customWidth="1"/>
  </cols>
  <sheetData>
    <row r="1" spans="1:10" x14ac:dyDescent="0.25">
      <c r="B1" s="61" t="s">
        <v>49</v>
      </c>
      <c r="C1" s="61"/>
      <c r="D1" s="61" t="s">
        <v>50</v>
      </c>
      <c r="E1" s="61"/>
      <c r="G1" s="61" t="s">
        <v>49</v>
      </c>
      <c r="H1" s="61"/>
      <c r="I1" s="61" t="s">
        <v>50</v>
      </c>
      <c r="J1" s="61"/>
    </row>
    <row r="2" spans="1:10" ht="30" x14ac:dyDescent="0.25">
      <c r="A2" s="62" t="s">
        <v>0</v>
      </c>
      <c r="B2" s="3" t="s">
        <v>42</v>
      </c>
      <c r="C2" s="3" t="s">
        <v>43</v>
      </c>
      <c r="D2" s="3" t="s">
        <v>42</v>
      </c>
      <c r="E2" s="3" t="s">
        <v>43</v>
      </c>
      <c r="G2" s="3" t="s">
        <v>45</v>
      </c>
      <c r="H2" s="3" t="s">
        <v>46</v>
      </c>
      <c r="I2" s="3" t="s">
        <v>45</v>
      </c>
      <c r="J2" s="3" t="s">
        <v>46</v>
      </c>
    </row>
    <row r="3" spans="1:10" x14ac:dyDescent="0.25">
      <c r="A3" s="60">
        <v>1</v>
      </c>
      <c r="B3" s="60">
        <v>72.680000000000007</v>
      </c>
      <c r="C3" s="60">
        <v>71.62</v>
      </c>
      <c r="D3" s="60">
        <v>76.2</v>
      </c>
      <c r="E3" s="60">
        <v>93.25</v>
      </c>
      <c r="F3" s="5" t="s">
        <v>11</v>
      </c>
      <c r="G3">
        <f>AVERAGE(B3:B12)</f>
        <v>72.674000000000007</v>
      </c>
      <c r="H3">
        <f t="shared" ref="H3:J3" si="0">AVERAGE(C3:C12)</f>
        <v>71.606000000000009</v>
      </c>
      <c r="I3">
        <f t="shared" si="0"/>
        <v>76.09</v>
      </c>
      <c r="J3">
        <f t="shared" si="0"/>
        <v>93.168000000000006</v>
      </c>
    </row>
    <row r="4" spans="1:10" x14ac:dyDescent="0.25">
      <c r="A4" s="60">
        <v>2</v>
      </c>
      <c r="B4" s="60">
        <v>72.62</v>
      </c>
      <c r="C4" s="60">
        <v>71.680000000000007</v>
      </c>
      <c r="D4" s="60">
        <v>76.09</v>
      </c>
      <c r="E4" s="60">
        <v>93.19</v>
      </c>
      <c r="F4" s="5" t="s">
        <v>12</v>
      </c>
      <c r="G4">
        <f>SUM(B3:B12)/COUNT(B3:B12)</f>
        <v>72.674000000000007</v>
      </c>
      <c r="H4">
        <f>SUM(C3:C12)/COUNT(C3:C12)</f>
        <v>71.606000000000009</v>
      </c>
      <c r="I4">
        <f t="shared" ref="H4:J4" si="1">SUM(D3:D12)/COUNT(D3:D12)</f>
        <v>76.09</v>
      </c>
      <c r="J4">
        <f t="shared" si="1"/>
        <v>93.168000000000006</v>
      </c>
    </row>
    <row r="5" spans="1:10" x14ac:dyDescent="0.25">
      <c r="A5" s="60">
        <v>3</v>
      </c>
      <c r="B5" s="60">
        <v>72.58</v>
      </c>
      <c r="C5" s="60">
        <v>71.739999999999995</v>
      </c>
      <c r="D5" s="60">
        <v>75.98</v>
      </c>
      <c r="E5" s="60">
        <v>92.87</v>
      </c>
    </row>
    <row r="6" spans="1:10" x14ac:dyDescent="0.25">
      <c r="A6" s="60">
        <v>4</v>
      </c>
      <c r="B6" s="60">
        <v>72.48</v>
      </c>
      <c r="C6" s="60">
        <v>71.48</v>
      </c>
      <c r="D6" s="60">
        <v>76.150000000000006</v>
      </c>
      <c r="E6" s="60">
        <v>93.29</v>
      </c>
      <c r="G6" s="9" t="s">
        <v>52</v>
      </c>
    </row>
    <row r="7" spans="1:10" x14ac:dyDescent="0.25">
      <c r="A7" s="60">
        <v>5</v>
      </c>
      <c r="B7" s="60">
        <v>73.069999999999993</v>
      </c>
      <c r="C7" s="60">
        <v>71.55</v>
      </c>
      <c r="D7" s="60">
        <v>76.17</v>
      </c>
      <c r="E7" s="60">
        <v>93.37</v>
      </c>
      <c r="G7" s="9" t="s">
        <v>51</v>
      </c>
    </row>
    <row r="8" spans="1:10" x14ac:dyDescent="0.25">
      <c r="A8" s="60">
        <v>6</v>
      </c>
      <c r="B8" s="60">
        <v>72.55</v>
      </c>
      <c r="C8" s="60">
        <v>71.52</v>
      </c>
      <c r="D8" s="60">
        <v>75.94</v>
      </c>
      <c r="E8" s="60">
        <v>92.98</v>
      </c>
      <c r="G8" s="9"/>
    </row>
    <row r="9" spans="1:10" x14ac:dyDescent="0.25">
      <c r="A9" s="60">
        <v>7</v>
      </c>
      <c r="B9" s="60">
        <v>72.42</v>
      </c>
      <c r="C9" s="60">
        <v>71.709999999999994</v>
      </c>
      <c r="D9" s="60">
        <v>76.12</v>
      </c>
      <c r="E9" s="60">
        <v>93.47</v>
      </c>
    </row>
    <row r="10" spans="1:10" x14ac:dyDescent="0.25">
      <c r="A10" s="60">
        <v>8</v>
      </c>
      <c r="B10" s="60">
        <v>72.84</v>
      </c>
      <c r="C10" s="60">
        <v>71.56</v>
      </c>
      <c r="D10" s="60">
        <v>76.180000000000007</v>
      </c>
      <c r="E10" s="60">
        <v>93.75</v>
      </c>
    </row>
    <row r="11" spans="1:10" x14ac:dyDescent="0.25">
      <c r="A11" s="60">
        <v>9</v>
      </c>
      <c r="B11" s="60">
        <v>72.58</v>
      </c>
      <c r="C11" s="60">
        <v>71.7</v>
      </c>
      <c r="D11" s="60">
        <v>76.25</v>
      </c>
      <c r="E11" s="60">
        <v>93.89</v>
      </c>
    </row>
    <row r="12" spans="1:10" x14ac:dyDescent="0.25">
      <c r="A12" s="60">
        <v>10</v>
      </c>
      <c r="B12" s="60">
        <v>72.92</v>
      </c>
      <c r="C12" s="60">
        <v>71.5</v>
      </c>
      <c r="D12" s="60">
        <v>75.819999999999993</v>
      </c>
      <c r="E12" s="60">
        <v>91.62</v>
      </c>
    </row>
  </sheetData>
  <mergeCells count="4">
    <mergeCell ref="B1:C1"/>
    <mergeCell ref="D1:E1"/>
    <mergeCell ref="G1:H1"/>
    <mergeCell ref="I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ChartDataSheet_</vt:lpstr>
      <vt:lpstr>1,23</vt:lpstr>
      <vt:lpstr>1,24</vt:lpstr>
      <vt:lpstr>1,25</vt:lpstr>
      <vt:lpstr>1,27</vt:lpstr>
      <vt:lpstr>1,28</vt:lpstr>
      <vt:lpstr>1,30</vt:lpstr>
      <vt:lpstr>1,31</vt:lpstr>
      <vt:lpstr>1,32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Guille</cp:lastModifiedBy>
  <dcterms:created xsi:type="dcterms:W3CDTF">2021-03-15T18:04:45Z</dcterms:created>
  <dcterms:modified xsi:type="dcterms:W3CDTF">2021-03-16T17:57:16Z</dcterms:modified>
</cp:coreProperties>
</file>